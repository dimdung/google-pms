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Desk_Log" sheetId="1" r:id="rId4"/>
    <sheet state="visible" name="HK-Sheet" sheetId="2" r:id="rId5"/>
    <sheet state="visible" name="Housekeeping_Board" sheetId="3" r:id="rId6"/>
    <sheet state="visible" name="Housekeeping_Print" sheetId="4" r:id="rId7"/>
    <sheet state="visible" name="Daily_Dashboard" sheetId="5" r:id="rId8"/>
    <sheet state="visible" name="Rooms_Master" sheetId="6" r:id="rId9"/>
    <sheet state="visible" name="AppsScript" sheetId="7" r:id="rId10"/>
    <sheet state="visible" name="AppScrip-bkup-01-03-26" sheetId="8" r:id="rId11"/>
    <sheet state="visible" name="AppScript-Backup_01032026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7">
      <text>
        <t xml:space="preserve">Call to Dad and get the payment for 2 and after hour 7pm late checkout ?
	-SAATGD LLC</t>
      </text>
    </comment>
  </commentList>
</comments>
</file>

<file path=xl/sharedStrings.xml><?xml version="1.0" encoding="utf-8"?>
<sst xmlns="http://schemas.openxmlformats.org/spreadsheetml/2006/main" count="4658" uniqueCount="1817">
  <si>
    <t>Date</t>
  </si>
  <si>
    <t>#</t>
  </si>
  <si>
    <t>Room #</t>
  </si>
  <si>
    <t>Full Name</t>
  </si>
  <si>
    <t>Amount</t>
  </si>
  <si>
    <t>Number of Night(s)</t>
  </si>
  <si>
    <t>Subtotal</t>
  </si>
  <si>
    <t>Total With Tax</t>
  </si>
  <si>
    <t>Payment Type</t>
  </si>
  <si>
    <t>Duration</t>
  </si>
  <si>
    <t>CheckIn</t>
  </si>
  <si>
    <t>CheckInTime</t>
  </si>
  <si>
    <t>CheckOut</t>
  </si>
  <si>
    <t>CheckOutTime</t>
  </si>
  <si>
    <t>HK Status</t>
  </si>
  <si>
    <t>HK Done</t>
  </si>
  <si>
    <t>CleanedTime</t>
  </si>
  <si>
    <t>Desk Notes</t>
  </si>
  <si>
    <t>HK Notes</t>
  </si>
  <si>
    <t>TempNote</t>
  </si>
  <si>
    <t>Tax Rate</t>
  </si>
  <si>
    <t>Guest Email</t>
  </si>
  <si>
    <t>Payment Processor</t>
  </si>
  <si>
    <t>Processor Receipt #</t>
  </si>
  <si>
    <t>Card Last4</t>
  </si>
  <si>
    <t>Auth Code</t>
  </si>
  <si>
    <t>Invoice #</t>
  </si>
  <si>
    <t>Invoice Status</t>
  </si>
  <si>
    <t>Invoice PDF URL</t>
  </si>
  <si>
    <t>Refund Requested</t>
  </si>
  <si>
    <t>Refund Amount</t>
  </si>
  <si>
    <t>Refund Reason</t>
  </si>
  <si>
    <t>Manager Approved</t>
  </si>
  <si>
    <t>Manager Approved Time</t>
  </si>
  <si>
    <t>Manager Notes</t>
  </si>
  <si>
    <t>Refund PDF URL</t>
  </si>
  <si>
    <t>Micheal Buttler</t>
  </si>
  <si>
    <t>Card</t>
  </si>
  <si>
    <t>Yes</t>
  </si>
  <si>
    <t>Cleaned - ReadyFor Rent</t>
  </si>
  <si>
    <t>Extended 1/01/2026</t>
  </si>
  <si>
    <t>INV-000007</t>
  </si>
  <si>
    <t>PAID</t>
  </si>
  <si>
    <t>https://drive.google.com/file/d/1Vk1h89RRN6ImQda7PoVW7bCj7lCtUWDD/view?usp=drivesdk</t>
  </si>
  <si>
    <t>Lopez Kivin</t>
  </si>
  <si>
    <t>INV-000001</t>
  </si>
  <si>
    <t>https://drive.google.com/file/d/1aH0-odsNYlcR2DlXc39hJLej0ZPX5D_1/view?usp=drivesdk</t>
  </si>
  <si>
    <t>William Anton</t>
  </si>
  <si>
    <t>Cash</t>
  </si>
  <si>
    <t>INV-000003</t>
  </si>
  <si>
    <t>https://drive.google.com/file/d/1bzw232GVmZPUsd56g4JaQ9E9pg4gHpeI/view?usp=drivesdk</t>
  </si>
  <si>
    <t>James</t>
  </si>
  <si>
    <t>INV-000005</t>
  </si>
  <si>
    <t>https://drive.google.com/file/d/17EW9PfFmiGQl8xqrd4dCneIOuTTUnAi9/view?usp=drivesdk</t>
  </si>
  <si>
    <t>David Allen</t>
  </si>
  <si>
    <t>Extended 1/02/2026</t>
  </si>
  <si>
    <t>INV-000006</t>
  </si>
  <si>
    <t>https://drive.google.com/file/d/1VT1RaI4DpH5LHLto-rXfrglmWqbbXy0A/view?usp=drivesdk</t>
  </si>
  <si>
    <t>Micheal Rare</t>
  </si>
  <si>
    <t>INV-000023</t>
  </si>
  <si>
    <t>https://drive.google.com/file/d/1kVj4zPDI6PTmRr1VvONbGBfcv7kPCJWw/view?usp=drivesdk</t>
  </si>
  <si>
    <t>Karen Norman</t>
  </si>
  <si>
    <t>INV-000008</t>
  </si>
  <si>
    <t>https://drive.google.com/file/d/1hj3Tn0Msd3Q7r7lFk5dgBtW2AUeNt8x1/view?usp=drivesdk</t>
  </si>
  <si>
    <t>Nathaiel Pease</t>
  </si>
  <si>
    <t>INV-000009</t>
  </si>
  <si>
    <t>https://drive.google.com/file/d/1-RknhEZZTX7rHang7qZy1GVYa2J1NgvS/view?usp=drivesdk</t>
  </si>
  <si>
    <t>darwin aleman</t>
  </si>
  <si>
    <t>Paid to Kaasturi LLC</t>
  </si>
  <si>
    <t>INV-000011</t>
  </si>
  <si>
    <t>https://drive.google.com/file/d/1gPhl3rRJLJhKaFKGPPNVgMGDta9R7fC1/view?usp=drivesdk</t>
  </si>
  <si>
    <t>Fredy Cruze</t>
  </si>
  <si>
    <t>INV-000016</t>
  </si>
  <si>
    <t>https://drive.google.com/file/d/1BWpSy6gJjT3Or9DZqq5t6XxKUURF7XvP/view?usp=drivesdk</t>
  </si>
  <si>
    <t>Walter J Villegas</t>
  </si>
  <si>
    <t>INV-000013</t>
  </si>
  <si>
    <t>https://drive.google.com/file/d/1G3k29OUQ_E73dDGoaF5-X5oCZR3_5wGu/view?usp=drivesdk</t>
  </si>
  <si>
    <t>LIONEL J MAJANO-UMANA</t>
  </si>
  <si>
    <t>INV-000015</t>
  </si>
  <si>
    <t>https://drive.google.com/file/d/1L0TtXoLVA0EhdCOynkl9PFYMkSsj6Ou6/view?usp=drivesdk</t>
  </si>
  <si>
    <t>AVIGAIL ESPINOZA</t>
  </si>
  <si>
    <t>INV-000018</t>
  </si>
  <si>
    <t>https://drive.google.com/file/d/1uZQ6Bs_z-lz_lZJhKWINYAP1ll4uUWB2/view?usp=drivesdk</t>
  </si>
  <si>
    <t>Jimmy  ( Maint . guy)</t>
  </si>
  <si>
    <t>INV-000019</t>
  </si>
  <si>
    <t>https://drive.google.com/file/d/1DAWiTbmzkrewxt1sfV907XlWz0KVWf8I/view?usp=drivesdk</t>
  </si>
  <si>
    <t>Jeon Bum Skii</t>
  </si>
  <si>
    <t>INV-000021</t>
  </si>
  <si>
    <t>https://drive.google.com/file/d/18oj6buTNiLX8BG1WQdBzv9qLvPTX7ROS/view?usp=drivesdk</t>
  </si>
  <si>
    <t>Josh</t>
  </si>
  <si>
    <t xml:space="preserve">Checkout but pending 3 days </t>
  </si>
  <si>
    <t>emmanuel</t>
  </si>
  <si>
    <t>paid to kaasturi llc</t>
  </si>
  <si>
    <t>INV-000022</t>
  </si>
  <si>
    <t>https://drive.google.com/file/d/15EDfzN-BQ9MdwAGU-cpbv2o7Ez5Jv2Yn/view?usp=drivesdk</t>
  </si>
  <si>
    <t>Martin Appiah</t>
  </si>
  <si>
    <t>No</t>
  </si>
  <si>
    <t>INV-000025</t>
  </si>
  <si>
    <t>https://drive.google.com/file/d/1YkaKh5JXj6Yv3qaFFyy9YewJu7zF3uTu/view?usp=drivesdk</t>
  </si>
  <si>
    <t>Veronica</t>
  </si>
  <si>
    <t>Ready for Cleaning</t>
  </si>
  <si>
    <t>2 Hours</t>
  </si>
  <si>
    <t>INV-000028</t>
  </si>
  <si>
    <t>https://drive.google.com/file/d/1tBnpqcr0-rVfGGNG26rv-5Hd0480c3yu/view?usp=drivesdk</t>
  </si>
  <si>
    <t>carlos</t>
  </si>
  <si>
    <t>4 Hours</t>
  </si>
  <si>
    <t>INV-000027</t>
  </si>
  <si>
    <t>https://drive.google.com/file/d/1s6-9TAf0MwDrhve3x05Z_99d5uCqqSzA/view?usp=drivesdk</t>
  </si>
  <si>
    <t>victor</t>
  </si>
  <si>
    <t>paid to kaasturi</t>
  </si>
  <si>
    <t>INV-000029</t>
  </si>
  <si>
    <t>https://drive.google.com/file/d/1xMQVkZDtkbyye2wmxHFWmqqadYHY7Xex/view?usp=drivesdk</t>
  </si>
  <si>
    <t>Chris</t>
  </si>
  <si>
    <t>2 hrs</t>
  </si>
  <si>
    <t>INV-000030</t>
  </si>
  <si>
    <t>https://drive.google.com/file/d/1EATp05LQguXRLji8YA7YNkxCc1aiMxg4/view?usp=drivesdk</t>
  </si>
  <si>
    <t>william herndosez</t>
  </si>
  <si>
    <t>4 hrs</t>
  </si>
  <si>
    <t>INV-000031</t>
  </si>
  <si>
    <t>https://drive.google.com/file/d/1lI3LxOlhFvkbSDKUl0mlwd0PJfWgsJGa/view?usp=drivesdk</t>
  </si>
  <si>
    <t>ROOM #</t>
  </si>
  <si>
    <t>Note</t>
  </si>
  <si>
    <t>Tablet view: Filter HK Status = 'Ready for cleaning', then sort by CheckOutTime (oldest first).</t>
  </si>
  <si>
    <t>Housekeeping - Ready for Cleaning</t>
  </si>
  <si>
    <t>Priority</t>
  </si>
  <si>
    <t>Cleaned?</t>
  </si>
  <si>
    <t>Daily Dashboard</t>
  </si>
  <si>
    <t>Report Date</t>
  </si>
  <si>
    <t>Checked-in today</t>
  </si>
  <si>
    <t>Checked-out today</t>
  </si>
  <si>
    <t>Ready for cleaning (today)</t>
  </si>
  <si>
    <t>Cleaned (today)</t>
  </si>
  <si>
    <t>Cash total (today)</t>
  </si>
  <si>
    <t>Card total (today)</t>
  </si>
  <si>
    <t>Total revenue (today)</t>
  </si>
  <si>
    <t>Cash Reconciliation (Front Desk)</t>
  </si>
  <si>
    <t>Expected Cash (from log)</t>
  </si>
  <si>
    <t>Actual Cash Counted</t>
  </si>
  <si>
    <t>Over / Short</t>
  </si>
  <si>
    <t>Type</t>
  </si>
  <si>
    <t>Label</t>
  </si>
  <si>
    <t>Notes</t>
  </si>
  <si>
    <t>Maintenance</t>
  </si>
  <si>
    <t>[Storage]</t>
  </si>
  <si>
    <t>[Supplies]</t>
  </si>
  <si>
    <t>[FB]</t>
  </si>
  <si>
    <t>[MgrRM]</t>
  </si>
  <si>
    <t>[KB]</t>
  </si>
  <si>
    <t>[DB]</t>
  </si>
  <si>
    <t>[None]</t>
  </si>
  <si>
    <t>Out of Order</t>
  </si>
  <si>
    <t>[KB] - water</t>
  </si>
  <si>
    <t>Construction</t>
  </si>
  <si>
    <t>[KB] - Celling</t>
  </si>
  <si>
    <t>KDB</t>
  </si>
  <si>
    <t>Google Apps Script (copy/paste into Extensions → Apps Script)</t>
  </si>
  <si>
    <t>Includes: timestamps, HK Done -&gt; CleanedTime, protections, nightly reset, and housekeeping PDF export.</t>
  </si>
  <si>
    <t>/**</t>
  </si>
  <si>
    <t xml:space="preserve"> * Lee High Inn Motel - Invoice + Refund Approval Automation</t>
  </si>
  <si>
    <t xml:space="preserve"> *</t>
  </si>
  <si>
    <t xml:space="preserve"> * What it does:</t>
  </si>
  <si>
    <t xml:space="preserve"> * - When CheckOut = Yes: stamps CheckOutTime (EST), generates PDF invoice w/ logo + IRS-style receipt wording,</t>
  </si>
  <si>
    <t xml:space="preserve"> *   saves to Drive, emails guest (if Guest Email provided).</t>
  </si>
  <si>
    <t xml:space="preserve"> * - Supports Stripe/Square receipt numbers (Processor Receipt #).</t>
  </si>
  <si>
    <t xml:space="preserve"> * - Refund workflow:</t>
  </si>
  <si>
    <t xml:space="preserve"> *   Refund Requested = Yes -&gt; email manager for approval and set Invoice Status = REFUND_REQUESTED</t>
  </si>
  <si>
    <t xml:space="preserve"> *   Manager Approved = Yes -&gt; stamp Manager Approved Time, set Invoice Status = REFUNDED, generate refund receipt PDF</t>
  </si>
  <si>
    <t xml:space="preserve"> * IMPORTANT: Upload your logo to Drive and paste its FILE ID in CFG.MOTEL.logoFileId</t>
  </si>
  <si>
    <t xml:space="preserve"> * Timezone: set Spreadsheet + Apps Script to America/New_York.</t>
  </si>
  <si>
    <t xml:space="preserve"> */</t>
  </si>
  <si>
    <t>const CFG = {</t>
  </si>
  <si>
    <t xml:space="preserve">  SHEET: "FrontDesk_Log",</t>
  </si>
  <si>
    <t xml:space="preserve">  TIMEZONE: "America/New_York",</t>
  </si>
  <si>
    <t xml:space="preserve">  MOTEL: {</t>
  </si>
  <si>
    <t xml:space="preserve">    name: "Lee High Inn Motel",</t>
  </si>
  <si>
    <t xml:space="preserve">    addr1: "9865 Fairfax Blvd",</t>
  </si>
  <si>
    <t xml:space="preserve">    addr2: "Fairfax, VA 22030",</t>
  </si>
  <si>
    <t xml:space="preserve">    phone: "703-975-5067",</t>
  </si>
  <si>
    <t xml:space="preserve">    email: "saatgdllc@gmail.com",</t>
  </si>
  <si>
    <t xml:space="preserve">    logoFileId: "PASTE_LOGO_FILE_ID_HERE"</t>
  </si>
  <si>
    <t xml:space="preserve">  },</t>
  </si>
  <si>
    <t xml:space="preserve">  MANAGER: {</t>
  </si>
  <si>
    <t xml:space="preserve">    email: "saatgdllc@gmail.com"</t>
  </si>
  <si>
    <t xml:space="preserve">  DEFAULT_TAX_RATE: 0.13,</t>
  </si>
  <si>
    <t xml:space="preserve">  // Column map (1-based) for LeeHighInn_Ops.xlsx</t>
  </si>
  <si>
    <t xml:space="preserve">  COL: {</t>
  </si>
  <si>
    <t xml:space="preserve">    DATE: 1,                 // A</t>
  </si>
  <si>
    <t xml:space="preserve">    ROOM: 3,                 // C</t>
  </si>
  <si>
    <t xml:space="preserve">    GUEST: 4,                // D</t>
  </si>
  <si>
    <t xml:space="preserve">    AMOUNT: 5,               // E</t>
  </si>
  <si>
    <t xml:space="preserve">    PAYMENT_TYPE: 6,         // F (cash/card)</t>
  </si>
  <si>
    <t xml:space="preserve">    DURATION: 7,             // G (optional)</t>
  </si>
  <si>
    <t xml:space="preserve">    CHECKIN: 8,              // H</t>
  </si>
  <si>
    <t xml:space="preserve">    CHECKIN_TIME: 9,         // I</t>
  </si>
  <si>
    <t xml:space="preserve">    CHECKOUT: 10,            // J</t>
  </si>
  <si>
    <t xml:space="preserve">    CHECKOUT_TIME: 11,       // K</t>
  </si>
  <si>
    <t xml:space="preserve">    HK_STATUS: 12,           // L</t>
  </si>
  <si>
    <t xml:space="preserve">    HK_DONE: 13,             // M</t>
  </si>
  <si>
    <t xml:space="preserve">    CLEANED_TIME: 14,        // N</t>
  </si>
  <si>
    <t xml:space="preserve">    DESK_NOTES: 15,          // O</t>
  </si>
  <si>
    <t xml:space="preserve">    HK_NOTES: 16,            // P</t>
  </si>
  <si>
    <t xml:space="preserve">    TEMPNOTE: 17,            // Q</t>
  </si>
  <si>
    <t xml:space="preserve">    NIGHTS: 18,              // R</t>
  </si>
  <si>
    <t xml:space="preserve">    TAX_RATE: 19,            // S</t>
  </si>
  <si>
    <t xml:space="preserve">    GUEST_EMAIL: 20,         // T</t>
  </si>
  <si>
    <t xml:space="preserve">    PROCESSOR: 21,           // U  (Cash/Stripe/Square)</t>
  </si>
  <si>
    <t xml:space="preserve">    RECEIPT_NO: 22,          // V</t>
  </si>
  <si>
    <t xml:space="preserve">    CARD_LAST4: 23,          // W</t>
  </si>
  <si>
    <t xml:space="preserve">    AUTH_CODE: 24,           // X</t>
  </si>
  <si>
    <t xml:space="preserve">    INVOICE_NO: 25,          // Y</t>
  </si>
  <si>
    <t xml:space="preserve">    INVOICE_STATUS: 26,      // Z</t>
  </si>
  <si>
    <t xml:space="preserve">    INVOICE_PDF_URL: 27,     // AA</t>
  </si>
  <si>
    <t xml:space="preserve">    REFUND_REQUESTED: 28,    // AB</t>
  </si>
  <si>
    <t xml:space="preserve">    REFUND_AMOUNT: 29,       // AC</t>
  </si>
  <si>
    <t xml:space="preserve">    REFUND_REASON: 30,       // AD</t>
  </si>
  <si>
    <t xml:space="preserve">    MANAGER_APPROVED: 31,    // AE</t>
  </si>
  <si>
    <t xml:space="preserve">    MANAGER_APPROVED_TIME: 32,// AF</t>
  </si>
  <si>
    <t xml:space="preserve">    MANAGER_NOTES: 33,       // AG</t>
  </si>
  <si>
    <t xml:space="preserve">    REFUND_PDF_URL: 34       // AH</t>
  </si>
  <si>
    <t xml:space="preserve">  }</t>
  </si>
  <si>
    <t>};</t>
  </si>
  <si>
    <t>function nowEST() {</t>
  </si>
  <si>
    <t xml:space="preserve">  return new Date(Utilities.formatDate(new Date(), CFG.TIMEZONE, "yyyy/MM/dd HH:mm:ss"));</t>
  </si>
  <si>
    <t>}</t>
  </si>
  <si>
    <t>function fmtDate(d, pattern) {</t>
  </si>
  <si>
    <t xml:space="preserve">  return Utilities.formatDate(d instanceof Date ? d : new Date(d), CFG.TIMEZONE, pattern);</t>
  </si>
  <si>
    <t>function getLogoBase64_() {</t>
  </si>
  <si>
    <t xml:space="preserve">  const id = CFG.MOTEL.logoFileId;</t>
  </si>
  <si>
    <t xml:space="preserve">  if (!id || id.includes("PASTE_")) return "";</t>
  </si>
  <si>
    <t xml:space="preserve">  const blob = DriveApp.getFileById(id).getBlob();</t>
  </si>
  <si>
    <t xml:space="preserve">  return Utilities.base64Encode(blob.getBytes());</t>
  </si>
  <si>
    <t>function getOrCreateFolderByDate_() {</t>
  </si>
  <si>
    <t xml:space="preserve">  const folderName = `Invoices_${fmtDate(nowEST(),"yyyy-MM-dd")}`;</t>
  </si>
  <si>
    <t xml:space="preserve">  const it = DriveApp.getFoldersByName(folderName);</t>
  </si>
  <si>
    <t xml:space="preserve">  return it.hasNext() ? it.next() : DriveApp.createFolder(folderName);</t>
  </si>
  <si>
    <t>function onEdit(e) {</t>
  </si>
  <si>
    <t xml:space="preserve">  const sh = e.range.getSheet();</t>
  </si>
  <si>
    <t xml:space="preserve">  if (sh.getName() !== CFG.SHEET) return;</t>
  </si>
  <si>
    <t xml:space="preserve">  const row = e.range.getRow();</t>
  </si>
  <si>
    <t xml:space="preserve">  const col = e.range.getColumn();</t>
  </si>
  <si>
    <t xml:space="preserve">  if (row &lt; 2) return;</t>
  </si>
  <si>
    <t xml:space="preserve">  const val = (e.value || "").toString().trim().toLowerCase();</t>
  </si>
  <si>
    <t xml:space="preserve">  const isYes = val === "yes";</t>
  </si>
  <si>
    <t xml:space="preserve">  // Checkout -&gt; timestamp + invoice</t>
  </si>
  <si>
    <t xml:space="preserve">  if (col === CFG.COL.CHECKOUT &amp;&amp; isYes) {</t>
  </si>
  <si>
    <t xml:space="preserve">    const tCell = sh.getRange(row, CFG.COL.CHECKOUT_TIME);</t>
  </si>
  <si>
    <t xml:space="preserve">    if (!tCell.getValue()) tCell.setValue(nowEST());</t>
  </si>
  <si>
    <t xml:space="preserve">    generateInvoiceForRow_(row);</t>
  </si>
  <si>
    <t xml:space="preserve">    return;</t>
  </si>
  <si>
    <t xml:space="preserve">  // Refund requested -&gt; email manager and mark status</t>
  </si>
  <si>
    <t xml:space="preserve">  if (col === CFG.COL.REFUND_REQUESTED &amp;&amp; isYes) {</t>
  </si>
  <si>
    <t xml:space="preserve">    requestRefund_(row);</t>
  </si>
  <si>
    <t xml:space="preserve">  // Manager approved -&gt; finalize and generate refund receipt</t>
  </si>
  <si>
    <t xml:space="preserve">  if (col === CFG.COL.MANAGER_APPROVED &amp;&amp; isYes) {</t>
  </si>
  <si>
    <t xml:space="preserve">    approveRefund_(row);</t>
  </si>
  <si>
    <t>function generateInvoiceForRow_(row) {</t>
  </si>
  <si>
    <t xml:space="preserve">  const sh = SpreadsheetApp.getActive().getSheetByName(CFG.SHEET);</t>
  </si>
  <si>
    <t xml:space="preserve">  const guest = sh.getRange(row, CFG.COL.GUEST).getValue();</t>
  </si>
  <si>
    <t xml:space="preserve">  const guestEmail = sh.getRange(row, CFG.COL.GUEST_EMAIL).getValue();</t>
  </si>
  <si>
    <t xml:space="preserve">  const room = sh.getRange(row, CFG.COL.ROOM).getValue();</t>
  </si>
  <si>
    <t xml:space="preserve">  const rate = Number(sh.getRange(row, CFG.COL.AMOUNT).getValue() || 0);</t>
  </si>
  <si>
    <t xml:space="preserve">  const nights = Number(sh.getRange(row, CFG.COL.NIGHTS).getValue() || 1);</t>
  </si>
  <si>
    <t xml:space="preserve">  const taxRateCell = Number(sh.getRange(row, CFG.COL.TAX_RATE).getValue());</t>
  </si>
  <si>
    <t xml:space="preserve">  const taxRate = isFinite(taxRateCell) &amp;&amp; taxRateCell &gt;= 0 ? taxRateCell : CFG.DEFAULT_TAX_RATE;</t>
  </si>
  <si>
    <t xml:space="preserve">  const processor = sh.getRange(row, CFG.COL.PROCESSOR).getValue() || sh.getRange(row, CFG.COL.PAYMENT_TYPE).getValue();</t>
  </si>
  <si>
    <t xml:space="preserve">  const receiptNo = sh.getRange(row, CFG.COL.RECEIPT_NO).getValue();</t>
  </si>
  <si>
    <t xml:space="preserve">  const last4 = sh.getRange(row, CFG.COL.CARD_LAST4).getValue();</t>
  </si>
  <si>
    <t xml:space="preserve">  const paidAt = sh.getRange(row, CFG.COL.CHECKOUT_TIME).getValue() || nowEST();</t>
  </si>
  <si>
    <t xml:space="preserve">  // Stable invoice number</t>
  </si>
  <si>
    <t xml:space="preserve">  let invoiceNo = sh.getRange(row, CFG.COL.INVOICE_NO).getValue();</t>
  </si>
  <si>
    <t xml:space="preserve">  if (!invoiceNo) {</t>
  </si>
  <si>
    <t xml:space="preserve">    invoiceNo = `INV-${fmtDate(nowEST(),"yyyyMMdd")}-${room}`;</t>
  </si>
  <si>
    <t xml:space="preserve">    sh.getRange(row, CFG.COL.INVOICE_NO).setValue(invoiceNo);</t>
  </si>
  <si>
    <t xml:space="preserve">  // Status defaults to PAID</t>
  </si>
  <si>
    <t xml:space="preserve">  let status = sh.getRange(row, CFG.COL.INVOICE_STATUS).getValue();</t>
  </si>
  <si>
    <t xml:space="preserve">  if (!status) {</t>
  </si>
  <si>
    <t xml:space="preserve">    status = "PAID";</t>
  </si>
  <si>
    <t xml:space="preserve">    sh.getRange(row, CFG.COL.INVOICE_STATUS).setValue(status);</t>
  </si>
  <si>
    <t xml:space="preserve">  if (String(status).toUpperCase() === "VOID") return;</t>
  </si>
  <si>
    <t xml:space="preserve">  const subtotal = +(rate * nights).toFixed(2);</t>
  </si>
  <si>
    <t xml:space="preserve">  const tax = +(subtotal * taxRate).toFixed(2);</t>
  </si>
  <si>
    <t xml:space="preserve">  const total = +(subtotal + tax).toFixed(2);</t>
  </si>
  <si>
    <t xml:space="preserve">  const logo64 = getLogoBase64_();</t>
  </si>
  <si>
    <t xml:space="preserve">  const logoHtml = logo64</t>
  </si>
  <si>
    <t xml:space="preserve">    ? `&lt;img src="data:image/png;base64,${logo64}" style="height:60px;margin-bottom:8px;" /&gt;`</t>
  </si>
  <si>
    <t xml:space="preserve">    : `&lt;div style="font-size:18px;font-weight:700;"&gt;${CFG.MOTEL.name}&lt;/div&gt;`;</t>
  </si>
  <si>
    <t xml:space="preserve">  const receiptLine = `&lt;div style="margin-top:6px;"&gt;</t>
  </si>
  <si>
    <t xml:space="preserve">    &lt;b&gt;Payment Processor:&lt;/b&gt; ${processor || "-"}&lt;br&gt;</t>
  </si>
  <si>
    <t xml:space="preserve">    &lt;b&gt;Receipt / Transaction #:&lt;/b&gt; ${receiptNo || "-"}&lt;br&gt;</t>
  </si>
  <si>
    <t xml:space="preserve">    &lt;b&gt;Card Last 4:&lt;/b&gt; ${last4 || "-"}</t>
  </si>
  <si>
    <t xml:space="preserve">  &lt;/div&gt;`;</t>
  </si>
  <si>
    <t xml:space="preserve">  const irsWording = `</t>
  </si>
  <si>
    <t xml:space="preserve">    &lt;div style="margin-top:10px;font-size:11px;color:#333;"&gt;</t>
  </si>
  <si>
    <t xml:space="preserve">      &lt;b&gt;RECEIPT / INVOICE&lt;/b&gt;&lt;br&gt;</t>
  </si>
  <si>
    <t xml:space="preserve">      Keep this document for your records. This receipt reflects charges paid for lodging.</t>
  </si>
  <si>
    <t xml:space="preserve">      If you require a detailed breakdown for employer reimbursement, please contact the front desk.</t>
  </si>
  <si>
    <t xml:space="preserve">    &lt;/div&gt;</t>
  </si>
  <si>
    <t xml:space="preserve">  `;</t>
  </si>
  <si>
    <t xml:space="preserve">  const html = `</t>
  </si>
  <si>
    <t xml:space="preserve">  &lt;html&gt;&lt;body style="font-family:Arial; font-size:12px;"&gt;</t>
  </si>
  <si>
    <t xml:space="preserve">    ${logoHtml}</t>
  </si>
  <si>
    <t xml:space="preserve">    &lt;div&gt;${CFG.MOTEL.addr1}&lt;br&gt;${CFG.MOTEL.addr2}&lt;/div&gt;</t>
  </si>
  <si>
    <t xml:space="preserve">    &lt;div&gt;Phone: ${CFG.MOTEL.phone} | Email: ${CFG.MOTEL.email}&lt;/div&gt;</t>
  </si>
  <si>
    <t xml:space="preserve">    &lt;hr style="border:0;border-top:1px solid #999;"&gt;</t>
  </si>
  <si>
    <t xml:space="preserve">    &lt;div style="display:flex;justify-content:space-between;"&gt;</t>
  </si>
  <si>
    <t xml:space="preserve">      &lt;div&gt;</t>
  </si>
  <si>
    <t xml:space="preserve">        &lt;div style="font-size:16px;font-weight:700;"&gt;INVOICE&lt;/div&gt;</t>
  </si>
  <si>
    <t xml:space="preserve">        &lt;div&gt;&lt;b&gt;Invoice #:&lt;/b&gt; ${invoiceNo}&lt;/div&gt;</t>
  </si>
  <si>
    <t xml:space="preserve">        &lt;div&gt;&lt;b&gt;Status:&lt;/b&gt; ${status}&lt;/div&gt;</t>
  </si>
  <si>
    <t xml:space="preserve">        &lt;div&gt;&lt;b&gt;Date/Time (EST):&lt;/b&gt; ${fmtDate(paidAt,"MM/dd/yyyy hh:mm a")}&lt;/div&gt;</t>
  </si>
  <si>
    <t xml:space="preserve">      &lt;/div&gt;</t>
  </si>
  <si>
    <t xml:space="preserve">      &lt;div style="text-align:right;"&gt;</t>
  </si>
  <si>
    <t xml:space="preserve">        &lt;div&gt;&lt;b&gt;Guest:&lt;/b&gt; ${guest || "-"}&lt;/div&gt;</t>
  </si>
  <si>
    <t xml:space="preserve">        &lt;div&gt;&lt;b&gt;Room:&lt;/b&gt; ${room || "-"}&lt;/div&gt;</t>
  </si>
  <si>
    <t xml:space="preserve">        &lt;div&gt;&lt;b&gt;Nights:&lt;/b&gt; ${nights}&lt;/div&gt;</t>
  </si>
  <si>
    <t xml:space="preserve">    ${receiptLine}</t>
  </si>
  <si>
    <t xml:space="preserve">    &lt;br&gt;</t>
  </si>
  <si>
    <t xml:space="preserve">    &lt;table width="100%" border="1" cellspacing="0" cellpadding="6" style="border-collapse:collapse;"&gt;</t>
  </si>
  <si>
    <t xml:space="preserve">      &lt;tr&gt;&lt;th align="left"&gt;Description&lt;/th&gt;&lt;th align="right"&gt;Amount&lt;/th&gt;&lt;/tr&gt;</t>
  </si>
  <si>
    <t xml:space="preserve">      &lt;tr&gt;&lt;td&gt;Lodging (Room Charge) — ${nights} night(s)&lt;/td&gt;&lt;td align="right"&gt;$${subtotal.toFixed(2)}&lt;/td&gt;&lt;/tr&gt;</t>
  </si>
  <si>
    <t xml:space="preserve">      &lt;tr&gt;&lt;td&gt;Tax (${(taxRate*100).toFixed(2)}%)&lt;/td&gt;&lt;td align="right"&gt;$${tax.toFixed(2)}&lt;/td&gt;&lt;/tr&gt;</t>
  </si>
  <si>
    <t xml:space="preserve">      &lt;tr&gt;&lt;th align="left"&gt;Total Paid&lt;/th&gt;&lt;th align="right"&gt;$${total.toFixed(2)}&lt;/th&gt;&lt;/tr&gt;</t>
  </si>
  <si>
    <t xml:space="preserve">    &lt;/table&gt;</t>
  </si>
  <si>
    <t xml:space="preserve">    ${irsWording}</t>
  </si>
  <si>
    <t xml:space="preserve">    &lt;div style="margin-top:14px;font-size:11px;color:#666;"&gt;</t>
  </si>
  <si>
    <t xml:space="preserve">      Thank you for staying with ${CFG.MOTEL.name}.</t>
  </si>
  <si>
    <t xml:space="preserve">  &lt;/body&gt;&lt;/html&gt;`;</t>
  </si>
  <si>
    <t xml:space="preserve">  const pdfBlob = Utilities.newBlob(html, "text/html").getAs("application/pdf").setName(`${invoiceNo}.pdf`);</t>
  </si>
  <si>
    <t xml:space="preserve">  const folder = getOrCreateFolderByDate_();</t>
  </si>
  <si>
    <t xml:space="preserve">  const file = folder.createFile(pdfBlob);</t>
  </si>
  <si>
    <t xml:space="preserve">  sh.getRange(row, CFG.COL.INVOICE_PDF_URL).setValue(file.getUrl());</t>
  </si>
  <si>
    <t xml:space="preserve">  if (guestEmail) {</t>
  </si>
  <si>
    <t xml:space="preserve">    GmailApp.sendEmail(</t>
  </si>
  <si>
    <t xml:space="preserve">      guestEmail,</t>
  </si>
  <si>
    <t xml:space="preserve">      `Invoice ${invoiceNo} - ${CFG.MOTEL.name}`,</t>
  </si>
  <si>
    <t xml:space="preserve">      `Thank you for staying with ${CFG.MOTEL.name}. Your invoice is attached.`,</t>
  </si>
  <si>
    <t xml:space="preserve">      { attachments: [pdfBlob] }</t>
  </si>
  <si>
    <t xml:space="preserve">    );</t>
  </si>
  <si>
    <t>function requestRefund_(row) {</t>
  </si>
  <si>
    <t xml:space="preserve">  const invoiceNo = sh.getRange(row, CFG.COL.INVOICE_NO).getValue();</t>
  </si>
  <si>
    <t xml:space="preserve">  const amt = sh.getRange(row, CFG.COL.REFUND_AMOUNT).getValue();</t>
  </si>
  <si>
    <t xml:space="preserve">  const reason = sh.getRange(row, CFG.COL.REFUND_REASON).getValue();</t>
  </si>
  <si>
    <t xml:space="preserve">  sh.getRange(row, CFG.COL.INVOICE_STATUS).setValue("REFUND_REQUESTED");</t>
  </si>
  <si>
    <t xml:space="preserve">  const sheetUrl = SpreadsheetApp.getActive().getUrl();</t>
  </si>
  <si>
    <t xml:space="preserve">  const msg =</t>
  </si>
  <si>
    <t>`Refund approval requested:</t>
  </si>
  <si>
    <t>Invoice: ${invoiceNo || "-"}</t>
  </si>
  <si>
    <t>Guest: ${guest || "-"}</t>
  </si>
  <si>
    <t>Room: ${room || "-"}</t>
  </si>
  <si>
    <t>Refund amount: ${amt || "-"}</t>
  </si>
  <si>
    <t>Reason: ${reason || "-"}</t>
  </si>
  <si>
    <t>Row: ${row}</t>
  </si>
  <si>
    <t>Approve by setting "Manager Approved" = Yes in this row.</t>
  </si>
  <si>
    <t>Open sheet: ${sheetUrl}`;</t>
  </si>
  <si>
    <t xml:space="preserve">  GmailApp.sendEmail(</t>
  </si>
  <si>
    <t xml:space="preserve">    CFG.MANAGER.email,</t>
  </si>
  <si>
    <t xml:space="preserve">    `Approval Needed: Refund Request ${invoiceNo || ""} (Room ${room || ""})`,</t>
  </si>
  <si>
    <t xml:space="preserve">    msg</t>
  </si>
  <si>
    <t xml:space="preserve">  );</t>
  </si>
  <si>
    <t>function approveRefund_(row) {</t>
  </si>
  <si>
    <t xml:space="preserve">  sh.getRange(row, CFG.COL.MANAGER_APPROVED_TIME).setValue(nowEST());</t>
  </si>
  <si>
    <t xml:space="preserve">  sh.getRange(row, CFG.COL.INVOICE_STATUS).setValue("REFUNDED");</t>
  </si>
  <si>
    <t xml:space="preserve">  generateRefundReceipt_(row);</t>
  </si>
  <si>
    <t>function generateRefundReceipt_(row) {</t>
  </si>
  <si>
    <t xml:space="preserve">  const refundAmt = Number(sh.getRange(row, CFG.COL.REFUND_AMOUNT).getValue() || 0);</t>
  </si>
  <si>
    <t xml:space="preserve">  const approvedAt = sh.getRange(row, CFG.COL.MANAGER_APPROVED_TIME).getValue() || nowEST();</t>
  </si>
  <si>
    <t xml:space="preserve">  const managerNotes = sh.getRange(row, CFG.COL.MANAGER_NOTES).getValue();</t>
  </si>
  <si>
    <t xml:space="preserve">    &lt;div style="font-size:16px;font-weight:700;"&gt;REFUND RECEIPT / CREDIT MEMO&lt;/div&gt;</t>
  </si>
  <si>
    <t xml:space="preserve">    &lt;div&gt;&lt;b&gt;Related Invoice #:&lt;/b&gt; ${invoiceNo || "-"}&lt;/div&gt;</t>
  </si>
  <si>
    <t xml:space="preserve">    &lt;div&gt;&lt;b&gt;Guest:&lt;/b&gt; ${guest || "-"} | &lt;b&gt;Room:&lt;/b&gt; ${room || "-"}&lt;/div&gt;</t>
  </si>
  <si>
    <t xml:space="preserve">    &lt;div&gt;&lt;b&gt;Approved (EST):&lt;/b&gt; ${fmtDate(approvedAt,"MM/dd/yyyy hh:mm a")}&lt;/div&gt;</t>
  </si>
  <si>
    <t xml:space="preserve">    &lt;div&gt;&lt;b&gt;Payment Processor:&lt;/b&gt; ${processor || "-"} | &lt;b&gt;Original Receipt #:&lt;/b&gt; ${receiptNo || "-"}&lt;/div&gt;</t>
  </si>
  <si>
    <t xml:space="preserve">      &lt;tr&gt;&lt;td&gt;Refund Issued&lt;/td&gt;&lt;td align="right"&gt;-$${refundAmt.toFixed(2)}&lt;/td&gt;&lt;/tr&gt;</t>
  </si>
  <si>
    <t xml:space="preserve">      &lt;tr&gt;&lt;th align="left"&gt;Total Refunded&lt;/th&gt;&lt;th align="right"&gt;-$${refundAmt.toFixed(2)}&lt;/th&gt;&lt;/tr&gt;</t>
  </si>
  <si>
    <t xml:space="preserve">    &lt;div style="margin-top:10px;"&gt;&lt;b&gt;Reason:&lt;/b&gt; ${reason || "-"}&lt;/div&gt;</t>
  </si>
  <si>
    <t xml:space="preserve">    &lt;div style="margin-top:6px;"&gt;&lt;b&gt;Manager Notes:&lt;/b&gt; ${managerNotes || "-"}&lt;/div&gt;</t>
  </si>
  <si>
    <t xml:space="preserve">    &lt;div style="margin-top:12px;font-size:11px;color:#333;"&gt;</t>
  </si>
  <si>
    <t xml:space="preserve">      Keep this refund receipt for your records. Refund timing depends on the payment provider and issuing bank.</t>
  </si>
  <si>
    <t xml:space="preserve">  const refundNo = `RF-${fmtDate(nowEST(),"yyyyMMdd")}-${room}`;</t>
  </si>
  <si>
    <t xml:space="preserve">  const pdfBlob = Utilities.newBlob(html, "text/html").getAs("application/pdf").setName(`${refundNo}.pdf`);</t>
  </si>
  <si>
    <t xml:space="preserve">  sh.getRange(row, CFG.COL.REFUND_PDF_URL).setValue(file.getUrl());</t>
  </si>
  <si>
    <t>/*********************************************************</t>
  </si>
  <si>
    <t>* Lee High Inn – Enhanced Script (Header-Driven)</t>
  </si>
  <si>
    <t>* Features:</t>
  </si>
  <si>
    <t>* 1) F is now "Number of Night(s)" and drives Subtotal/Total</t>
  </si>
  <si>
    <t>* 2) Subtotal/Total auto-update when Nights/Amount/Tax Rate changes</t>
  </si>
  <si>
    <t>* 3) CheckIn/CheckOut timestamps reliably stamp again</t>
  </si>
  <si>
    <t>* 4) Repairs missing headers (U/V blank titles issue)</t>
  </si>
  <si>
    <t>* 5) Adds menu: Lee High Inn → Generate/Reprint Invoice</t>
  </si>
  <si>
    <t>* 6) Optionally hides Duration and TempNote (instead of deleting)</t>
  </si>
  <si>
    <t>* 7) Housekeeping automation (HK Done timestamp, color coding)</t>
  </si>
  <si>
    <t>* 8) Payment Type handling and validation</t>
  </si>
  <si>
    <t>* 9) Daily/weekly reporting functions</t>
  </si>
  <si>
    <t>* 10) Room availability dashboard</t>
  </si>
  <si>
    <t>* 11) Guest history lookup</t>
  </si>
  <si>
    <t>* 12) Bulk operations menu items</t>
  </si>
  <si>
    <t>* 13) Enhanced error handling and logging</t>
  </si>
  <si>
    <t>* 14) Data validation improvements</t>
  </si>
  <si>
    <t>*********************************************************/</t>
  </si>
  <si>
    <t>SHEET: "FrontDesk_Log",</t>
  </si>
  <si>
    <t>TIMEZONE: "America/New_York",</t>
  </si>
  <si>
    <t>MOTEL: {</t>
  </si>
  <si>
    <t>name: "Lee High Inn Motel",</t>
  </si>
  <si>
    <t>addr1: "9865 Fairfax Blvd",</t>
  </si>
  <si>
    <t>addr2: "Fairfax, VA 22030",</t>
  </si>
  <si>
    <t>phone: "703-975-5067",</t>
  </si>
  <si>
    <t>email: "saatgdllc@gmail.com",</t>
  </si>
  <si>
    <t>},</t>
  </si>
  <si>
    <t>DEFAULT_TAX_RATE: 0.13,</t>
  </si>
  <si>
    <t>COLOR: {</t>
  </si>
  <si>
    <t>CHECKIN_YES: "#C6EFCE",        // Light green</t>
  </si>
  <si>
    <t>CHECKOUT_YES: "#FFE699",       // Light yellow/amber (better visibility)</t>
  </si>
  <si>
    <t>HK_READY: "#FFF2CC",            // Light yellow</t>
  </si>
  <si>
    <t>HK_DONE: "#D5E8D4",             // Light green</t>
  </si>
  <si>
    <t>PAYMENT_CASH: "#E1D5E7",        // Light purple</t>
  </si>
  <si>
    <t>PAYMENT_CARD: "#D5E8D4",       // Light green</t>
  </si>
  <si>
    <t>PAYMENT_OTHER: "#FFF2CC",       // Light yellow</t>
  </si>
  <si>
    <t>ROOM_OCCUPIED: "#FFC7CE",       // Light red</t>
  </si>
  <si>
    <t>ROOM_AVAILABLE: "#C6EFCE",      // Light green</t>
  </si>
  <si>
    <t>ROOM_MAINTENANCE: "#D9D9D9",   // Light gray</t>
  </si>
  <si>
    <t>ROOM_READY: "#FFF2CC",          // Light yellow</t>
  </si>
  <si>
    <t>OLD_DATA: "#E8E8E8",            // Light gray for old/inactive data</t>
  </si>
  <si>
    <t>OLD_DATA_TEXT: "#999999",       // Gray text for old/inactive data</t>
  </si>
  <si>
    <t>HK_READY_TEXT: "Ready for Cleaning",</t>
  </si>
  <si>
    <t>HK_DONE_TEXT: "Cleaned - ReadyFor Rent",</t>
  </si>
  <si>
    <t>PAYMENT_TYPES: ["Cash", "Credit Card", "Debit Card", "Check", "Other"],</t>
  </si>
  <si>
    <t>LOG_ENABLED: true,</t>
  </si>
  <si>
    <t>/* ===================== MENU ===================== */</t>
  </si>
  <si>
    <t>function onOpen() {</t>
  </si>
  <si>
    <t>const ui = SpreadsheetApp.getUi();</t>
  </si>
  <si>
    <t>const menu = ui.createMenu("Lee High Inn");</t>
  </si>
  <si>
    <t>menu.addItem("Generate/Reprint Invoice (Selected Row)", "menuGenerateInvoice");</t>
  </si>
  <si>
    <t>menu.addSeparator();</t>
  </si>
  <si>
    <t>menu.addSubMenu(ui.createMenu("Reports")</t>
  </si>
  <si>
    <t>.addItem("Daily Report", "menuDailyReport")</t>
  </si>
  <si>
    <t>.addItem("Weekly Report", "menuWeeklyReport")</t>
  </si>
  <si>
    <t>.addItem("Monthly Report", "menuMonthlyReport")</t>
  </si>
  <si>
    <t>.addItem("Room Occupancy Report", "menuRoomOccupancyReport"));</t>
  </si>
  <si>
    <t>menu.addSubMenu(ui.createMenu("Dashboard")</t>
  </si>
  <si>
    <t>.addItem("Unified Room Dashboard (60 Rooms)", "menuUnifiedRoomDashboard")</t>
  </si>
  <si>
    <t>.addItem("Update Daily Dashboard", "menuUpdateDailyDashboard")</t>
  </si>
  <si>
    <t>.addSeparator()</t>
  </si>
  <si>
    <t>.addItem("Room Availability", "menuRoomAvailability")</t>
  </si>
  <si>
    <t>.addItem("Today's Check-ins", "menuTodaysCheckins")</t>
  </si>
  <si>
    <t>.addItem("Today's Check-outs", "menuTodaysCheckouts")</t>
  </si>
  <si>
    <t>.addItem("Pending Housekeeping", "menuPendingHousekeeping"));</t>
  </si>
  <si>
    <t>menu.addSubMenu(ui.createMenu("Guest")</t>
  </si>
  <si>
    <t>.addItem("Lookup Guest History", "menuGuestHistory"));</t>
  </si>
  <si>
    <t>menu.addSubMenu(ui.createMenu("Bulk Operations")</t>
  </si>
  <si>
    <t>.addItem("Generate Invoices for Selected Rows", "menuBulkGenerateInvoices")</t>
  </si>
  <si>
    <t>.addItem("Update Tax Rate for Selected Rows", "menuBulkUpdateTaxRate")</t>
  </si>
  <si>
    <t>.addItem("Mark Selected as Checked Out", "menuBulkCheckout")</t>
  </si>
  <si>
    <t>.addItem("Refresh Old Row Styling", "menuRefreshOldRowStyling"));</t>
  </si>
  <si>
    <t>menu.addItem("Setup/Repair Headers", "menuSetupOnce");</t>
  </si>
  <si>
    <t>menu.addItem("Manage Room Maintenance", "menuManageRoomMaintenance");</t>
  </si>
  <si>
    <t>menu.addToUi();</t>
  </si>
  <si>
    <t>/* ===================== RUN ONCE ===================== */</t>
  </si>
  <si>
    <t>function setupOnce() {</t>
  </si>
  <si>
    <t>const sh = SpreadsheetApp.getActive().getSheetByName(CFG.SHEET);</t>
  </si>
  <si>
    <t>if (!sh) throw new Error(`Sheet not found: ${CFG.SHEET}`);</t>
  </si>
  <si>
    <t>repairHeaders_(sh);</t>
  </si>
  <si>
    <t>createInstallableOnEditTrigger_();</t>
  </si>
  <si>
    <t>protectTimestampColumns_(sh);</t>
  </si>
  <si>
    <t>// Optional: hide columns you don't want staff using</t>
  </si>
  <si>
    <t>hideIfExists_(sh, "Duration");</t>
  </si>
  <si>
    <t>hideIfExists_(sh, "TempNote");</t>
  </si>
  <si>
    <t>SpreadsheetApp.getUi().alert("Setup complete. Reload the sheet.");</t>
  </si>
  <si>
    <t>/* ===================== TRIGGERS ===================== */</t>
  </si>
  <si>
    <t>function createInstallableOnEditTrigger_() {</t>
  </si>
  <si>
    <t>const exists = ScriptApp.getProjectTriggers().some(t =&gt; t.getHandlerFunction() === "handleEdit");</t>
  </si>
  <si>
    <t>if (exists) return;</t>
  </si>
  <si>
    <t>ScriptApp.newTrigger("handleEdit")</t>
  </si>
  <si>
    <t>.forSpreadsheet(SpreadsheetApp.getActive())</t>
  </si>
  <si>
    <t>.onEdit()</t>
  </si>
  <si>
    <t>.create();</t>
  </si>
  <si>
    <t>// keep simple trigger delegating</t>
  </si>
  <si>
    <t>function onEdit(e) { handleEdit(e); }</t>
  </si>
  <si>
    <t>/* ===================== EDIT HANDLER ===================== */</t>
  </si>
  <si>
    <t>function handleEdit(e) {</t>
  </si>
  <si>
    <t>try {</t>
  </si>
  <si>
    <t>const sh = e.range.getSheet();</t>
  </si>
  <si>
    <t>if (sh.getName() !== CFG.SHEET) return;</t>
  </si>
  <si>
    <t>const row = e.range.getRow();</t>
  </si>
  <si>
    <t>if (row &lt; 2) return;</t>
  </si>
  <si>
    <t>// Always keep headers healthy (handles your "U/V blank title" issue)</t>
  </si>
  <si>
    <t>if (row === 1) repairHeaders_(sh);</t>
  </si>
  <si>
    <t>const col = e.range.getColumn();</t>
  </si>
  <si>
    <t>const v = (e.value || "").toString().trim();</t>
  </si>
  <si>
    <t>const vBool = toYes_(v);</t>
  </si>
  <si>
    <t>// Resolve columns by header (robust even if columns shift)</t>
  </si>
  <si>
    <t>const C = cols_(sh);</t>
  </si>
  <si>
    <t>// If Total With Tax is entered directly, calculate backwards (flat amount mode)</t>
  </si>
  <si>
    <t>if (col === C.total &amp;&amp; v &amp;&amp; !isNaN(toNumber_(v))) {</t>
  </si>
  <si>
    <t>updateQuoteFromTotal_(sh, row, C, toNumber_(v));</t>
  </si>
  <si>
    <t>return;</t>
  </si>
  <si>
    <t>// Update quote totals when Amount / Nights / Tax changes</t>
  </si>
  <si>
    <t>if ([C.amount, C.nights, C.taxRate].includes(col)) {</t>
  </si>
  <si>
    <t>updateQuoteForRow_(sh, row, C);</t>
  </si>
  <si>
    <t>// Payment Type handling</t>
  </si>
  <si>
    <t>if (col === C.paymentType &amp;&amp; v) {</t>
  </si>
  <si>
    <t>handlePaymentTypeChange_(sh, row, C, v);</t>
  </si>
  <si>
    <t>// CheckIn timestamp</t>
  </si>
  <si>
    <t>if (col === C.checkIn &amp;&amp; vBool) {</t>
  </si>
  <si>
    <t>if (!sh.getRange(row, C.checkInTime).getValue()) {</t>
  </si>
  <si>
    <t>sh.getRange(row, C.checkInTime).setValue(nowEST_());</t>
  </si>
  <si>
    <t>sh.getRange(row, C.checkIn).setBackground(CFG.COLOR.CHECKIN_YES);</t>
  </si>
  <si>
    <t>// Clear "Cleaned - ReadyFor Rent" status from older rows for the same room</t>
  </si>
  <si>
    <t>// since the room is now occupied by a new guest</t>
  </si>
  <si>
    <t>const room = sh.getRange(row, C.room).getValue();</t>
  </si>
  <si>
    <t>if (room &amp;&amp; C.hkStatus) {</t>
  </si>
  <si>
    <t>clearOldCleanedStatus_(sh, room, row, C);</t>
  </si>
  <si>
    <t>// Gray out Date and CheckOut columns for old rows of the same room</t>
  </si>
  <si>
    <t>if (room) {</t>
  </si>
  <si>
    <t>grayOutOldRows_(sh, room, row, C);</t>
  </si>
  <si>
    <t>log_("Check-in processed", { room: sh.getRange(row, C.room).getValue(), row });</t>
  </si>
  <si>
    <t>// CheckOut timestamp + HK status + invoice</t>
  </si>
  <si>
    <t>if (col === C.checkOut &amp;&amp; vBool) {</t>
  </si>
  <si>
    <t>if (!sh.getRange(row, C.checkOutTime).getValue()) {</t>
  </si>
  <si>
    <t>sh.getRange(row, C.checkOutTime).setValue(nowEST_());</t>
  </si>
  <si>
    <t>sh.getRange(row, C.checkOut).setBackground(CFG.COLOR.CHECKOUT_YES);</t>
  </si>
  <si>
    <t>// Ready for housekeeping</t>
  </si>
  <si>
    <t>if (C.hkStatus) {</t>
  </si>
  <si>
    <t>sh.getRange(row, C.hkStatus).setValue(CFG.HK_READY_TEXT).setBackground(CFG.COLOR.HK_READY);</t>
  </si>
  <si>
    <t>generateInvoiceForRow_(sh, row, C, false);</t>
  </si>
  <si>
    <t>// Protect Total With Tax column (H column) after checkout</t>
  </si>
  <si>
    <t>protectTotalAfterCheckout_(sh, row, C);</t>
  </si>
  <si>
    <t>// Update Daily Dashboard (non-blocking, runs in background)</t>
  </si>
  <si>
    <t>updateDailyDashboard_();</t>
  </si>
  <si>
    <t>} catch (error) {</t>
  </si>
  <si>
    <t>log_("Error updating dashboard on checkout", { error: error.toString() });</t>
  </si>
  <si>
    <t>// Don't block checkout if dashboard update fails</t>
  </si>
  <si>
    <t>log_("Check-out processed", { room: sh.getRange(row, C.room).getValue(), row });</t>
  </si>
  <si>
    <t>// Prevent editing Total With Tax if already checked out</t>
  </si>
  <si>
    <t>if (col === C.total &amp;&amp; C.checkOut) {</t>
  </si>
  <si>
    <t>const isCheckedOut = toYes_(sh.getRange(row, C.checkOut).getValue());</t>
  </si>
  <si>
    <t>if (isCheckedOut) {</t>
  </si>
  <si>
    <t>SpreadsheetApp.getUi().alert("Cannot modify Total With Tax after checkout. Please void the invoice first if correction is needed.");</t>
  </si>
  <si>
    <t>// Revert the change</t>
  </si>
  <si>
    <t>const oldValue = sh.getRange(row, C.total).getValue();</t>
  </si>
  <si>
    <t>SpreadsheetApp.flush();</t>
  </si>
  <si>
    <t>sh.getRange(row, C.total).setValue(oldValue);</t>
  </si>
  <si>
    <t>// Prevent editing timestamp columns</t>
  </si>
  <si>
    <t>if ([C.checkInTime, C.checkOutTime, C.cleanedTime].includes(col)) {</t>
  </si>
  <si>
    <t>SpreadsheetApp.getUi().alert("This column is protected and cannot be edited. Timestamps are set automatically.");</t>
  </si>
  <si>
    <t>const oldValue = sh.getRange(row, col).getValue();</t>
  </si>
  <si>
    <t>sh.getRange(row, col).setValue(oldValue);</t>
  </si>
  <si>
    <t>// HK Done timestamp and status update</t>
  </si>
  <si>
    <t>if (col === C.hkDone &amp;&amp; vBool) {</t>
  </si>
  <si>
    <t>handleHKDone_(sh, row, C);</t>
  </si>
  <si>
    <t>log_("Error in handleEdit", { error: error.toString(), stack: error.stack });</t>
  </si>
  <si>
    <t>SpreadsheetApp.getUi().alert("Error: " + error.toString());</t>
  </si>
  <si>
    <t>/* ===================== COLUMN RESOLUTION ===================== */</t>
  </si>
  <si>
    <t>function cols_(sh) {</t>
  </si>
  <si>
    <t>// Required headers (we will auto-create/repair these)</t>
  </si>
  <si>
    <t>const map = {</t>
  </si>
  <si>
    <t>date: "Date",</t>
  </si>
  <si>
    <t>room: "Room #",</t>
  </si>
  <si>
    <t>guest: "Full Name",</t>
  </si>
  <si>
    <t>amount: "Amount",</t>
  </si>
  <si>
    <t>nights: "Number of Night(s)",</t>
  </si>
  <si>
    <t>subtotal: "Subtotal",</t>
  </si>
  <si>
    <t>total: "Total With Tax",</t>
  </si>
  <si>
    <t>paymentType: "Payment Type",</t>
  </si>
  <si>
    <t>checkIn: "CheckIn",</t>
  </si>
  <si>
    <t>checkInTime: "CheckInTime",</t>
  </si>
  <si>
    <t>checkOut: "CheckOut",</t>
  </si>
  <si>
    <t>checkOutTime: "CheckOutTime",</t>
  </si>
  <si>
    <t>hkStatus: "HK Status",</t>
  </si>
  <si>
    <t>hkDone: "HK Done",</t>
  </si>
  <si>
    <t>cleanedTime: "CleanedTime",</t>
  </si>
  <si>
    <t>deskNotes: "Desk Notes",</t>
  </si>
  <si>
    <t>hkNotes: "HK Notes",</t>
  </si>
  <si>
    <t>taxRate: "Tax Rate",</t>
  </si>
  <si>
    <t>guestEmail: "Guest Email",</t>
  </si>
  <si>
    <t>processor: "Payment Processor",</t>
  </si>
  <si>
    <t>receipt: "Processor Receipt #",</t>
  </si>
  <si>
    <t>last4: "Card Last4",</t>
  </si>
  <si>
    <t>auth: "Auth Code",</t>
  </si>
  <si>
    <t>invoiceNo: "Invoice #",</t>
  </si>
  <si>
    <t>invoiceStatus: "Invoice Status",</t>
  </si>
  <si>
    <t>invoiceUrl: "Invoice PDF URL",</t>
  </si>
  <si>
    <t>const headerRow = sh.getRange(1, 1, 1, sh.getLastColumn()).getValues()[0].map(h =&gt; (h || "").toString().trim());</t>
  </si>
  <si>
    <t>const idx = {};</t>
  </si>
  <si>
    <t>for (const [k, name] of Object.entries(map)) {</t>
  </si>
  <si>
    <t>// Try exact match first</t>
  </si>
  <si>
    <t>let i = headerRow.indexOf(name);</t>
  </si>
  <si>
    <t>// If not found, try case-insensitive match</t>
  </si>
  <si>
    <t>if (i &lt; 0) {</t>
  </si>
  <si>
    <t>i = headerRow.findIndex(h =&gt; h.toLowerCase() === name.toLowerCase());</t>
  </si>
  <si>
    <t>// Special handling for CheckOut/Checkout variations</t>
  </si>
  <si>
    <t>if (i &lt; 0 &amp;&amp; (k === "checkOut" || k === "checkIn")) {</t>
  </si>
  <si>
    <t>const variations = k === "checkOut"</t>
  </si>
  <si>
    <t>? ["Checkout", "checkout", "Check Out", "check out"]</t>
  </si>
  <si>
    <t>: ["Checkin", "checkin", "Check In", "check in"];</t>
  </si>
  <si>
    <t>for (const variant of variations) {</t>
  </si>
  <si>
    <t>i = headerRow.findIndex(h =&gt; h.toLowerCase() === variant.toLowerCase());</t>
  </si>
  <si>
    <t>if (i &gt;= 0) break;</t>
  </si>
  <si>
    <t>if (i &gt;= 0) idx[k] = i + 1;</t>
  </si>
  <si>
    <t>else idx[k] = null; // may be optional like HK Status</t>
  </si>
  <si>
    <t>return idx;</t>
  </si>
  <si>
    <t>/* ===================== HEADER REPAIR ===================== */</t>
  </si>
  <si>
    <t>function repairHeaders_(sh) {</t>
  </si>
  <si>
    <t>// Fix common broken state:</t>
  </si>
  <si>
    <t>// - Quoted Nights should be renamed to Number of Night(s)</t>
  </si>
  <si>
    <t>// - Some columns may be blank (U/V "no title" issue)</t>
  </si>
  <si>
    <t>// - Ensure required headers exist; do not move columns here</t>
  </si>
  <si>
    <t>const lastCol = sh.getLastColumn();</t>
  </si>
  <si>
    <t>const headers = sh.getRange(1, 1, 1, lastCol).getValues()[0];</t>
  </si>
  <si>
    <t>// Rename "Quoted Nights" -&gt; "Number of Night(s)"</t>
  </si>
  <si>
    <t>for (let c = 1; c &lt;= lastCol; c++) {</t>
  </si>
  <si>
    <t>const h = (headers[c-1] || "").toString().trim();</t>
  </si>
  <si>
    <t>if (h === "Quoted Nights") sh.getRange(1, c).setValue("Number of Night(s)");</t>
  </si>
  <si>
    <t>// If there are blank headers, try to set them based on nearby known structure</t>
  </si>
  <si>
    <t>// At minimum, ensure Tax Rate / Guest Email / Payment Processor / Receipt exist.</t>
  </si>
  <si>
    <t>const required = ["Tax Rate", "Guest Email", "Payment Processor", "Processor Receipt #", "Invoice #", "Invoice Status", "Invoice PDF URL", "Payment Type", "HK Done", "CleanedTime"];</t>
  </si>
  <si>
    <t>const headerStrings = sh.getRange(1, 1, 1, lastCol).getValues()[0].map(x =&gt; (x || "").toString().trim());</t>
  </si>
  <si>
    <t>// Helper function to add missing headers</t>
  </si>
  <si>
    <t>let refreshed = headerStrings.slice();</t>
  </si>
  <si>
    <t>const missingHeaders = [];</t>
  </si>
  <si>
    <t>if (!refreshed.includes("Tax Rate")) missingHeaders.push("Tax Rate");</t>
  </si>
  <si>
    <t>if (!refreshed.includes("Guest Email")) missingHeaders.push("Guest Email");</t>
  </si>
  <si>
    <t>if (!refreshed.includes("Payment Type")) missingHeaders.push("Payment Type");</t>
  </si>
  <si>
    <t>if (!refreshed.includes("HK Done")) missingHeaders.push("HK Done");</t>
  </si>
  <si>
    <t>if (!refreshed.includes("CleanedTime")) missingHeaders.push("CleanedTime");</t>
  </si>
  <si>
    <t>for (const header of missingHeaders) {</t>
  </si>
  <si>
    <t>const blank = refreshed.findIndex(x =&gt; x === "");</t>
  </si>
  <si>
    <t>if (blank &gt;= 0) {</t>
  </si>
  <si>
    <t>sh.getRange(1, blank + 1).setValue(header);</t>
  </si>
  <si>
    <t>refreshed[blank] = header;</t>
  </si>
  <si>
    <t>// Also fix missing "Invoice Status" header if your sheet used "VOID" column instead</t>
  </si>
  <si>
    <t>const refreshed2 = sh.getRange(1, 1, 1, lastCol).getValues()[0].map(x =&gt; (x || "").toString().trim());</t>
  </si>
  <si>
    <t>if (refreshed2.includes("VOID") &amp;&amp; !refreshed2.includes("Invoice Status")) {</t>
  </si>
  <si>
    <t>// Rename VOID -&gt; Invoice Status (matches the script)</t>
  </si>
  <si>
    <t>const c = refreshed2.indexOf("VOID") + 1;</t>
  </si>
  <si>
    <t>sh.getRange(1, c).setValue("Invoice Status");</t>
  </si>
  <si>
    <t>// If your guest header is "Name" instead of "Full Name", rename it</t>
  </si>
  <si>
    <t>const refreshed3 = sh.getRange(1, 1, 1, lastCol).getValues()[0].map(x =&gt; (x || "").toString().trim());</t>
  </si>
  <si>
    <t>if (refreshed3.includes("Name") &amp;&amp; !refreshed3.includes("Full Name")) {</t>
  </si>
  <si>
    <t>const c = refreshed3.indexOf("Name") + 1;</t>
  </si>
  <si>
    <t>sh.getRange(1, c).setValue("Full Name");</t>
  </si>
  <si>
    <t>/* ===================== PROTECTION ===================== */</t>
  </si>
  <si>
    <t>function protectTimestampColumns_(sh) {</t>
  </si>
  <si>
    <t>const headerRow = sh.getRange(1, 1, 1, sh.getLastColumn()).getValues()[0].map(x =&gt; (x || "").toString().trim());</t>
  </si>
  <si>
    <t>const inIdx = headerRow.indexOf("CheckInTime");</t>
  </si>
  <si>
    <t>const outIdx = headerRow.indexOf("CheckOutTime");</t>
  </si>
  <si>
    <t>const cleanedIdx = headerRow.indexOf("CleanedTime");</t>
  </si>
  <si>
    <t>const colsToProtect = [];</t>
  </si>
  <si>
    <t>if (inIdx &gt;= 0) colsToProtect.push(inIdx + 1);</t>
  </si>
  <si>
    <t>if (outIdx &gt;= 0) colsToProtect.push(outIdx + 1);</t>
  </si>
  <si>
    <t>if (cleanedIdx &gt;= 0) colsToProtect.push(cleanedIdx + 1);</t>
  </si>
  <si>
    <t>if (colsToProtect.length === 0) return;</t>
  </si>
  <si>
    <t>const protections = sh.getProtections(SpreadsheetApp.ProtectionType.RANGE);</t>
  </si>
  <si>
    <t>colsToProtect.forEach(c =&gt; {</t>
  </si>
  <si>
    <t>const rng = sh.getRange(1, c, sh.getMaxRows(), 1);</t>
  </si>
  <si>
    <t>const a1 = rng.getA1Notation();</t>
  </si>
  <si>
    <t>if (protections.some(p =&gt; p.getRange().getA1Notation() === a1)) return;</t>
  </si>
  <si>
    <t>const p = rng.protect();</t>
  </si>
  <si>
    <t>p.setDescription("Auto timestamps (do not edit)");</t>
  </si>
  <si>
    <t>p.setWarningOnly(false);</t>
  </si>
  <si>
    <t>const editors = p.getEditors();</t>
  </si>
  <si>
    <t>if (editors &amp;&amp; editors.length) p.removeEditors(editors);</t>
  </si>
  <si>
    <t>if (p.canDomainEdit()) p.setDomainEdit(false);</t>
  </si>
  <si>
    <t>});</t>
  </si>
  <si>
    <t>function protectTotalAfterCheckout_(sh, row, C) {</t>
  </si>
  <si>
    <t>// Protect Total With Tax column for this row after checkout</t>
  </si>
  <si>
    <t>if (!C.total) return;</t>
  </si>
  <si>
    <t>const totalCol = C.total;</t>
  </si>
  <si>
    <t>const rng = sh.getRange(row, totalCol);</t>
  </si>
  <si>
    <t>// Check if already protected</t>
  </si>
  <si>
    <t>p.setDescription(`Total locked after checkout (Row ${row})`);</t>
  </si>
  <si>
    <t>log_("Protected Total column after checkout", { row, column: totalCol });</t>
  </si>
  <si>
    <t>log_("Error protecting Total column", { error: error.toString(), row });</t>
  </si>
  <si>
    <t>function hideIfExists_(sh, headerName) {</t>
  </si>
  <si>
    <t>const headers = sh.getRange(1, 1, 1, sh.getLastColumn()).getValues()[0].map(x =&gt; (x || "").toString().trim());</t>
  </si>
  <si>
    <t>const idx = headers.indexOf(headerName);</t>
  </si>
  <si>
    <t>if (idx &gt;= 0) sh.hideColumns(idx + 1);</t>
  </si>
  <si>
    <t>/* ===================== QUOTE CALC ===================== */</t>
  </si>
  <si>
    <t>function updateQuoteForRow_(sh, row, C) {</t>
  </si>
  <si>
    <t>if (!C.room || !C.amount || !C.nights || !C.subtotal || !C.total || !C.taxRate) return;</t>
  </si>
  <si>
    <t>if (!room) return;</t>
  </si>
  <si>
    <t>const nights = Math.max(1, Math.floor(toNumber_(sh.getRange(row, C.nights).getValue() || 1)));</t>
  </si>
  <si>
    <t>const rate = toNumber_(sh.getRange(row, C.amount).getValue());</t>
  </si>
  <si>
    <t>const taxRate = toTaxRate_(sh.getRange(row, C.taxRate).getValue());</t>
  </si>
  <si>
    <t>const subtotal = +(rate * nights).toFixed(2);</t>
  </si>
  <si>
    <t>const total = +(subtotal * (1 + taxRate)).toFixed(2);</t>
  </si>
  <si>
    <t>sh.getRange(row, C.nights).setValue(nights);      // normalize</t>
  </si>
  <si>
    <t>sh.getRange(row, C.subtotal).setValue(subtotal);</t>
  </si>
  <si>
    <t>sh.getRange(row, C.total).setValue(total);</t>
  </si>
  <si>
    <t>/* ===================== FLAT AMOUNT CALC (Total Including Tax) ===================== */</t>
  </si>
  <si>
    <t>function updateQuoteFromTotal_(sh, row, C, flatTotal) {</t>
  </si>
  <si>
    <t>// User entered a flat amount (total including tax) - calculate backwards</t>
  </si>
  <si>
    <t>// Calculate backwards from total</t>
  </si>
  <si>
    <t>// total = subtotal * (1 + taxRate)</t>
  </si>
  <si>
    <t>// subtotal = total / (1 + taxRate)</t>
  </si>
  <si>
    <t>const subtotal = +(flatTotal / (1 + taxRate)).toFixed(2);</t>
  </si>
  <si>
    <t>// Calculate per-night rate</t>
  </si>
  <si>
    <t>const rate = +(subtotal / nights).toFixed(2);</t>
  </si>
  <si>
    <t>// Update all values</t>
  </si>
  <si>
    <t>sh.getRange(row, C.nights).setValue(nights);</t>
  </si>
  <si>
    <t>sh.getRange(row, C.amount).setValue(rate);</t>
  </si>
  <si>
    <t>sh.getRange(row, C.total).setValue(flatTotal);</t>
  </si>
  <si>
    <t>log_("Flat amount calculated", {</t>
  </si>
  <si>
    <t>room,</t>
  </si>
  <si>
    <t>flatTotal,</t>
  </si>
  <si>
    <t>subtotal,</t>
  </si>
  <si>
    <t>rate,</t>
  </si>
  <si>
    <t>nights,</t>
  </si>
  <si>
    <t>taxRate: (taxRate * 100).toFixed(2) + "%"</t>
  </si>
  <si>
    <t>/* ===================== INVOICE ===================== */</t>
  </si>
  <si>
    <t>function menuGenerateInvoice() {</t>
  </si>
  <si>
    <t>const sh = SpreadsheetApp.getActiveSheet();</t>
  </si>
  <si>
    <t>if (sh.getName() !== CFG.SHEET) {</t>
  </si>
  <si>
    <t>SpreadsheetApp.getUi().alert("Run this from FrontDesk_Log.");</t>
  </si>
  <si>
    <t>const row = sh.getActiveRange().getRow();</t>
  </si>
  <si>
    <t>if (row &lt; 2) {</t>
  </si>
  <si>
    <t>SpreadsheetApp.getUi().alert("Select a data row first.");</t>
  </si>
  <si>
    <t>generateInvoiceForRow_(sh, row, C, true);</t>
  </si>
  <si>
    <t>SpreadsheetApp.getUi().alert("Invoice generated/reprinted.");</t>
  </si>
  <si>
    <t>function generateInvoiceForRow_(sh, row, C, force) {</t>
  </si>
  <si>
    <t>if (!C.room || !C.guest || !C.amount || !C.nights || !C.taxRate || !C.invoiceNo || !C.invoiceStatus || !C.invoiceUrl || !C.checkOutTime) return;</t>
  </si>
  <si>
    <t>const guest = sh.getRange(row, C.guest).getValue();</t>
  </si>
  <si>
    <t>let inv = sh.getRange(row, C.invoiceNo).getValue();</t>
  </si>
  <si>
    <t>if (!inv) {</t>
  </si>
  <si>
    <t>inv = nextInvoiceNo_();</t>
  </si>
  <si>
    <t>sh.getRange(row, C.invoiceNo).setValue(inv);</t>
  </si>
  <si>
    <t>let status = sh.getRange(row, C.invoiceStatus).getValue();</t>
  </si>
  <si>
    <t>if (!status) {</t>
  </si>
  <si>
    <t>status = "PAID";</t>
  </si>
  <si>
    <t>sh.getRange(row, C.invoiceStatus).setValue(status);</t>
  </si>
  <si>
    <t>if (String(status).toUpperCase() === "VOID") return;</t>
  </si>
  <si>
    <t>const existingUrl = sh.getRange(row, C.invoiceUrl).getValue();</t>
  </si>
  <si>
    <t>if (existingUrl &amp;&amp; !force) return;</t>
  </si>
  <si>
    <t>const tax = +(subtotal * taxRate).toFixed(2);</t>
  </si>
  <si>
    <t>const total = +(subtotal + tax).toFixed(2);</t>
  </si>
  <si>
    <t>const paidAt = sh.getRange(row, C.checkOutTime).getValue() || nowEST_();</t>
  </si>
  <si>
    <t>const processor = C.processor ? sh.getRange(row, C.processor).getValue() : "";</t>
  </si>
  <si>
    <t>const receipt = C.receipt ? sh.getRange(row, C.receipt).getValue() : "";</t>
  </si>
  <si>
    <t>const last4 = C.last4 ? sh.getRange(row, C.last4).getValue() : "";</t>
  </si>
  <si>
    <t>const auth = C.auth ? sh.getRange(row, C.auth).getValue() : "";</t>
  </si>
  <si>
    <t>const paymentType = C.paymentType ? sh.getRange(row, C.paymentType).getValue() : "";</t>
  </si>
  <si>
    <t>const perNightRate = rate.toFixed(2);</t>
  </si>
  <si>
    <t>const nightsText = nights === 1 ? "night" : "nights";</t>
  </si>
  <si>
    <t>const html = `</t>
  </si>
  <si>
    <t>&lt;html&gt;&lt;body style="font-family:Arial, sans-serif; font-size:13px; margin:0; padding:20px; background-color:#ffffff;"&gt;</t>
  </si>
  <si>
    <t>&lt;div style="text-align:center; margin-bottom:25px; border-bottom:2px solid #333; padding-bottom:15px;"&gt;</t>
  </si>
  <si>
    <t>&lt;h1 style="margin:0; color:#2c3e50; font-size:24px;"&gt;${CFG.MOTEL.name}&lt;/h1&gt;</t>
  </si>
  <si>
    <t>&lt;div style="margin-top:8px; color:#555; font-size:13px;"&gt;</t>
  </si>
  <si>
    <t>${CFG.MOTEL.addr1}&lt;br&gt;</t>
  </si>
  <si>
    <t>${CFG.MOTEL.addr2}</t>
  </si>
  <si>
    <t>&lt;/div&gt;</t>
  </si>
  <si>
    <t>&lt;div style="margin-top:8px; color:#666; font-size:12px;"&gt;</t>
  </si>
  <si>
    <t>Phone: ${CFG.MOTEL.phone} | Email: ${CFG.MOTEL.email}</t>
  </si>
  <si>
    <t>&lt;div style="margin-bottom:20px;"&gt;</t>
  </si>
  <si>
    <t>&lt;h2 style="margin:0 0 15px 0; color:#2c3e50; font-size:18px; border-bottom:1px solid #ddd; padding-bottom:8px;"&gt;INVOICE&lt;/h2&gt;</t>
  </si>
  <si>
    <t>&lt;table style="width:100%; margin-bottom:15px; border-collapse:collapse;"&gt;</t>
  </si>
  <si>
    <t>&lt;tr&gt;</t>
  </si>
  <si>
    <t>&lt;td style="padding:5px 10px 5px 0; color:#555; width:140px;"&gt;&lt;b&gt;Invoice #:&lt;/b&gt;&lt;/td&gt;</t>
  </si>
  <si>
    <t>&lt;td style="padding:5px 0; color:#333;"&gt;${inv}&lt;/td&gt;</t>
  </si>
  <si>
    <t>&lt;/tr&gt;</t>
  </si>
  <si>
    <t>&lt;td style="padding:5px 10px 5px 0; color:#555;"&gt;&lt;b&gt;Guest:&lt;/b&gt;&lt;/td&gt;</t>
  </si>
  <si>
    <t>&lt;td style="padding:5px 0; color:#333;"&gt;${guest || "-"}&lt;/td&gt;</t>
  </si>
  <si>
    <t>&lt;td style="padding:5px 10px 5px 0; color:#555;"&gt;&lt;b&gt;Room:&lt;/b&gt;&lt;/td&gt;</t>
  </si>
  <si>
    <t>&lt;td style="padding:5px 0; color:#333;"&gt;${room}&lt;/td&gt;</t>
  </si>
  <si>
    <t>&lt;td style="padding:5px 10px 5px 0; color:#555;"&gt;&lt;b&gt;Date (EST):&lt;/b&gt;&lt;/td&gt;</t>
  </si>
  <si>
    <t>&lt;td style="padding:5px 0; color:#333;"&gt;${fmt_(paidAt,"MM/dd/yyyy hh:mm a")}&lt;/td&gt;</t>
  </si>
  <si>
    <t>&lt;/table&gt;</t>
  </si>
  <si>
    <t>&lt;div style="margin-bottom:20px; padding:12px; background-color:#f8f9fa; border-left:4px solid #3498db;"&gt;</t>
  </si>
  <si>
    <t>&lt;div style="font-size:12px; color:#555; margin-bottom:8px;"&gt;&lt;b&gt;Payment Information:&lt;/b&gt;&lt;/div&gt;</t>
  </si>
  <si>
    <t>&lt;table style="width:100%; font-size:12px; border-collapse:collapse;"&gt;</t>
  </si>
  <si>
    <t>&lt;td style="padding:3px 10px 3px 0; color:#666; width:160px;"&gt;Payment Type:&lt;/td&gt;</t>
  </si>
  <si>
    <t>&lt;td style="padding:3px 0; color:#333;"&gt;${paymentType || "-"}&lt;/td&gt;</t>
  </si>
  <si>
    <t>&lt;td style="padding:3px 10px 3px 0; color:#666;"&gt;Payment Processor:&lt;/td&gt;</t>
  </si>
  <si>
    <t>&lt;td style="padding:3px 0; color:#333;"&gt;${processor || "-"}&lt;/td&gt;</t>
  </si>
  <si>
    <t>&lt;td style="padding:3px 10px 3px 0; color:#666;"&gt;Receipt / Transaction #:&lt;/td&gt;</t>
  </si>
  <si>
    <t>&lt;td style="padding:3px 0; color:#333;"&gt;${receipt || "-"}&lt;/td&gt;</t>
  </si>
  <si>
    <t>&lt;td style="padding:3px 10px 3px 0; color:#666;"&gt;Card Last 4:&lt;/td&gt;</t>
  </si>
  <si>
    <t>&lt;td style="padding:3px 0; color:#333;"&gt;${last4 || "-"}&lt;/td&gt;</t>
  </si>
  <si>
    <t>&lt;td style="padding:3px 10px 3px 0; color:#666;"&gt;Auth Code:&lt;/td&gt;</t>
  </si>
  <si>
    <t>&lt;td style="padding:3px 0; color:#333;"&gt;${auth || "-"}&lt;/td&gt;</t>
  </si>
  <si>
    <t>&lt;table border="1" width="100%" cellpadding="10" cellspacing="0" style="border-collapse:collapse; border:1px solid #ddd;"&gt;</t>
  </si>
  <si>
    <t>&lt;thead&gt;</t>
  </si>
  <si>
    <t>&lt;tr style="background-color:#34495e; color:#fff;"&gt;</t>
  </si>
  <si>
    <t>&lt;th align="left" style="padding:10px; font-weight:bold; font-size:13px;"&gt;Description&lt;/th&gt;</t>
  </si>
  <si>
    <t>&lt;th align="right" style="padding:10px; font-weight:bold; font-size:13px; width:120px;"&gt;Amount&lt;/th&gt;</t>
  </si>
  <si>
    <t>&lt;/thead&gt;</t>
  </si>
  <si>
    <t>&lt;tbody&gt;</t>
  </si>
  <si>
    <t>&lt;td style="padding:10px; border-bottom:1px solid #eee;"&gt;</t>
  </si>
  <si>
    <t>&lt;div style="font-weight:500; color:#2c3e50; margin-bottom:4px;"&gt;Lodging&lt;/div&gt;</t>
  </si>
  <si>
    <t>&lt;div style="font-size:11px; color:#666;"&gt;</t>
  </si>
  <si>
    <t>${nights} ${nightsText} @ $${perNightRate}/night</t>
  </si>
  <si>
    <t>&lt;/td&gt;</t>
  </si>
  <si>
    <t>&lt;td align="right" style="padding:10px; border-bottom:1px solid #eee; font-weight:500; color:#2c3e50;"&gt;</t>
  </si>
  <si>
    <t>$${subtotal.toFixed(2)}</t>
  </si>
  <si>
    <t>&lt;div style="font-weight:500; color:#2c3e50;"&gt;Tax&lt;/div&gt;</t>
  </si>
  <si>
    <t>${(taxRate*100).toFixed(2)}%</t>
  </si>
  <si>
    <t>$${tax.toFixed(2)}</t>
  </si>
  <si>
    <t>&lt;tr style="background-color:#ecf0f1; font-weight:bold;"&gt;</t>
  </si>
  <si>
    <t>&lt;td style="padding:12px; font-size:14px; color:#2c3e50;"&gt;Total Paid&lt;/td&gt;</t>
  </si>
  <si>
    <t>&lt;td align="right" style="padding:12px; font-size:16px; color:#27ae60;"&gt;</t>
  </si>
  <si>
    <t>$${total.toFixed(2)}</t>
  </si>
  <si>
    <t>&lt;/tbody&gt;</t>
  </si>
  <si>
    <t>&lt;div style="margin-top:25px; padding-top:15px; border-top:1px solid #ddd; text-align:center;"&gt;</t>
  </si>
  <si>
    <t>&lt;p style="font-size:11px; color:#7f8c8d; margin:0;"&gt;</t>
  </si>
  <si>
    <t>Receipt for lodging paid. Keep this document for your records.</t>
  </si>
  <si>
    <t>&lt;/p&gt;</t>
  </si>
  <si>
    <t>&lt;/body&gt;&lt;/html&gt;`;</t>
  </si>
  <si>
    <t>const fileName = `${room}_${safeName_(guest)}_${fmt_(paidAt,"yyyyMMdd_HHmmss")}.pdf`;</t>
  </si>
  <si>
    <t>const pdf = Utilities.newBlob(html, "text/html").getAs("application/pdf").setName(fileName);</t>
  </si>
  <si>
    <t>const file = folderToday_().createFile(pdf);</t>
  </si>
  <si>
    <t>sh.getRange(row, C.invoiceUrl).setValue(file.getUrl());</t>
  </si>
  <si>
    <t>// Email optional</t>
  </si>
  <si>
    <t>if (C.guestEmail) {</t>
  </si>
  <si>
    <t>const email = sh.getRange(row, C.guestEmail).getValue();</t>
  </si>
  <si>
    <t>if (email) {</t>
  </si>
  <si>
    <t>GmailApp.sendEmail(email, `Invoice ${inv} - ${CFG.MOTEL.name}`, "Invoice attached.", { attachments: [pdf] });</t>
  </si>
  <si>
    <t>/* ===================== DRIVE + SEQ ===================== */</t>
  </si>
  <si>
    <t>function folderToday_() {</t>
  </si>
  <si>
    <t>// Create folder structure: PMS/Invoices/YYYY-MM-DD</t>
  </si>
  <si>
    <t>const root = DriveApp.getRootFolder();</t>
  </si>
  <si>
    <t>// Get or create PMS folder</t>
  </si>
  <si>
    <t>let pmsFolder;</t>
  </si>
  <si>
    <t>const pmsFolders = root.getFoldersByName("PMS");</t>
  </si>
  <si>
    <t>if (pmsFolders.hasNext()) {</t>
  </si>
  <si>
    <t>pmsFolder = pmsFolders.next();</t>
  </si>
  <si>
    <t>} else {</t>
  </si>
  <si>
    <t>pmsFolder = root.createFolder("PMS");</t>
  </si>
  <si>
    <t>// Get or create Invoices folder inside PMS</t>
  </si>
  <si>
    <t>let invoicesFolder;</t>
  </si>
  <si>
    <t>const invoicesFolders = pmsFolder.getFoldersByName("Invoices");</t>
  </si>
  <si>
    <t>if (invoicesFolders.hasNext()) {</t>
  </si>
  <si>
    <t>invoicesFolder = invoicesFolders.next();</t>
  </si>
  <si>
    <t>invoicesFolder = pmsFolder.createFolder("Invoices");</t>
  </si>
  <si>
    <t>// Get or create date folder inside Invoices</t>
  </si>
  <si>
    <t>const dateName = fmt_(nowEST_(), "yyyy-MM-dd");</t>
  </si>
  <si>
    <t>const dateFolders = invoicesFolder.getFoldersByName(dateName);</t>
  </si>
  <si>
    <t>if (dateFolders.hasNext()) {</t>
  </si>
  <si>
    <t>return dateFolders.next();</t>
  </si>
  <si>
    <t>return invoicesFolder.createFolder(dateName);</t>
  </si>
  <si>
    <t>function nextInvoiceNo_() {</t>
  </si>
  <si>
    <t>const lock = LockService.getScriptLock();</t>
  </si>
  <si>
    <t>lock.waitLock(15000);</t>
  </si>
  <si>
    <t>const props = PropertiesService.getScriptProperties();</t>
  </si>
  <si>
    <t>const current = parseInt(props.getProperty("INVOICE_SEQ") || "0", 10);</t>
  </si>
  <si>
    <t>const next = current + 1;</t>
  </si>
  <si>
    <t>props.setProperty("INVOICE_SEQ", String(next));</t>
  </si>
  <si>
    <t>return "INV-" + String(next).padStart(6, "0");</t>
  </si>
  <si>
    <t>} finally {</t>
  </si>
  <si>
    <t>lock.releaseLock();</t>
  </si>
  <si>
    <t>/* ===================== SMALL UTILS ===================== */</t>
  </si>
  <si>
    <t>function nowEST_() {</t>
  </si>
  <si>
    <t>return new Date(Utilities.formatDate(new Date(), CFG.TIMEZONE, "yyyy/MM/dd HH:mm:ss"));</t>
  </si>
  <si>
    <t>function fmt_(d, f) {</t>
  </si>
  <si>
    <t>return Utilities.formatDate(d instanceof Date ? d : new Date(d), CFG.TIMEZONE, f);</t>
  </si>
  <si>
    <t>function toNumber_(v) {</t>
  </si>
  <si>
    <t>if (v === null || v === undefined || v === "") return 0;</t>
  </si>
  <si>
    <t>if (typeof v === "number") return isFinite(v) ? v : 0;</t>
  </si>
  <si>
    <t>const cleaned = v.toString().trim().replace(/[^0-9.\-]/g, "");</t>
  </si>
  <si>
    <t>const n = parseFloat(cleaned);</t>
  </si>
  <si>
    <t>return isFinite(n) ? n : 0;</t>
  </si>
  <si>
    <t>function toTaxRate_(v) {</t>
  </si>
  <si>
    <t>if (v === null || v === undefined || v === "") return CFG.DEFAULT_TAX_RATE;</t>
  </si>
  <si>
    <t>if (typeof v === "number") return v &gt; 1 ? v / 100 : v;</t>
  </si>
  <si>
    <t>const s = v.toString().trim();</t>
  </si>
  <si>
    <t>if (s.includes("%")) return toNumber_(s) / 100;</t>
  </si>
  <si>
    <t>const n = toNumber_(s);</t>
  </si>
  <si>
    <t>return n &gt; 1 ? n / 100 : (n || CFG.DEFAULT_TAX_RATE);</t>
  </si>
  <si>
    <t>function toYes_(s) {</t>
  </si>
  <si>
    <t>const v = (s || "").toString().trim().toLowerCase();</t>
  </si>
  <si>
    <t>return ["yes","y","true","1"].includes(v);</t>
  </si>
  <si>
    <t>function safeName_(s) {</t>
  </si>
  <si>
    <t>const t = (s || "Guest").toString().replace(/[^a-zA-Z0-9 ]/g, "").trim();</t>
  </si>
  <si>
    <t>return (t.replace(/\s+/g, "_").substring(0, 20)) || "Guest";</t>
  </si>
  <si>
    <t>/* ===================== HOUSEKEEPING AUTOMATION ===================== */</t>
  </si>
  <si>
    <t>* Check if a room is currently occupied by a newer check-in</t>
  </si>
  <si>
    <t>* @param {Sheet} sh - The sheet object</t>
  </si>
  <si>
    <t>* @param {string} room - Room number</t>
  </si>
  <si>
    <t>* @param {number} currentRow - Current row number</t>
  </si>
  <si>
    <t>* @param {object} C - Column indices</t>
  </si>
  <si>
    <t>* @returns {boolean} - True if room has a newer check-in that hasn't checked out</t>
  </si>
  <si>
    <t>*/</t>
  </si>
  <si>
    <t>function isRoomCurrentlyOccupied_(sh, room, currentRow, C) {</t>
  </si>
  <si>
    <t>if (!room || !C.room || !C.checkIn || !C.checkOut) return false;</t>
  </si>
  <si>
    <t>const data = sh.getDataRange().getValues();</t>
  </si>
  <si>
    <t>// Check all rows after the current row for the same room</t>
  </si>
  <si>
    <t>for (let i = currentRow; i &lt; data.length; i++) {</t>
  </si>
  <si>
    <t>const rowNum = i + 1;</t>
  </si>
  <si>
    <t>const rowRoom = data[i][C.room - 1];</t>
  </si>
  <si>
    <t>if (rowRoom &amp;&amp; rowRoom.toString().trim() === room.toString().trim()) {</t>
  </si>
  <si>
    <t>const checkIn = C.checkIn ? toYes_(data[i][C.checkIn - 1]) : false;</t>
  </si>
  <si>
    <t>const checkOut = C.checkOut ? toYes_(data[i][C.checkOut - 1]) : false;</t>
  </si>
  <si>
    <t>// If there's a check-in without a check-out, room is occupied</t>
  </si>
  <si>
    <t>if (checkIn &amp;&amp; !checkOut) {</t>
  </si>
  <si>
    <t>return true;</t>
  </si>
  <si>
    <t>return false;</t>
  </si>
  <si>
    <t>* Clear "Cleaned - ReadyFor Rent" status from older rows for the same room</t>
  </si>
  <si>
    <t>* @param {number} currentRow - Current row number (new check-in)</t>
  </si>
  <si>
    <t>function clearOldCleanedStatus_(sh, room, currentRow, C) {</t>
  </si>
  <si>
    <t>if (!room || !C.room || !C.hkStatus) return;</t>
  </si>
  <si>
    <t>// Check all rows before the current row for the same room</t>
  </si>
  <si>
    <t>for (let i = 1; i &lt; currentRow - 1; i++) {</t>
  </si>
  <si>
    <t>const hkStatus = C.hkStatus ? (data[i][C.hkStatus - 1] || "").toString() : "";</t>
  </si>
  <si>
    <t>// If status is "Cleaned - ReadyFor Rent", clear it</t>
  </si>
  <si>
    <t>if (hkStatus === CFG.HK_DONE_TEXT) {</t>
  </si>
  <si>
    <t>sh.getRange(rowNum, C.hkStatus).setValue("").setBackground("");</t>
  </si>
  <si>
    <t>log_("Cleared old cleaned status", { room, oldRow: rowNum, newRow: currentRow });</t>
  </si>
  <si>
    <t>* Gray out Date and CheckOut columns for old rows (rows that have been checked out</t>
  </si>
  <si>
    <t>* and the room has been re-rented to a new guest)</t>
  </si>
  <si>
    <t>* @param {string} room - Room number (optional, if provided only processes this room)</t>
  </si>
  <si>
    <t>* @param {number} newCheckInRow - Row number of new check-in (optional)</t>
  </si>
  <si>
    <t>function grayOutOldRows_(sh, room, newCheckInRow, C) {</t>
  </si>
  <si>
    <t>if (!C.date || !C.checkOut || !C.room || !C.checkIn) return;</t>
  </si>
  <si>
    <t>const lastRow = sh.getLastRow();</t>
  </si>
  <si>
    <t>let grayedOutCount = 0;</t>
  </si>
  <si>
    <t>// If a specific room and row are provided, only process that room's old rows</t>
  </si>
  <si>
    <t>if (room &amp;&amp; newCheckInRow) {</t>
  </si>
  <si>
    <t>// Process only older rows for this specific room</t>
  </si>
  <si>
    <t>const normalizedTargetRoom = room.toString().trim();</t>
  </si>
  <si>
    <t>for (let i = 1; i &lt; newCheckInRow - 1; i++) {</t>
  </si>
  <si>
    <t>if (!rowRoom) continue;</t>
  </si>
  <si>
    <t>const normalizedRowRoom = rowRoom.toString().trim();</t>
  </si>
  <si>
    <t>const roomsMatch = normalizedTargetRoom === normalizedRowRoom ||</t>
  </si>
  <si>
    <t>String(normalizedTargetRoom) === String(normalizedRowRoom);</t>
  </si>
  <si>
    <t>if (!roomsMatch) continue;</t>
  </si>
  <si>
    <t>// Check CheckOut value from both array and direct cell read</t>
  </si>
  <si>
    <t>let checkOut = false;</t>
  </si>
  <si>
    <t>if (C.checkOut) {</t>
  </si>
  <si>
    <t>const checkOutValue = data[i][C.checkOut - 1];</t>
  </si>
  <si>
    <t>checkOut = toYes_(checkOutValue);</t>
  </si>
  <si>
    <t>// Also check the cell directly</t>
  </si>
  <si>
    <t>if (!checkOut) {</t>
  </si>
  <si>
    <t>const checkoutCell = sh.getRange(rowNum, C.checkOut).getValue();</t>
  </si>
  <si>
    <t>checkOut = toYes_(checkoutCell);</t>
  </si>
  <si>
    <t>if (checkOut) {</t>
  </si>
  <si>
    <t>// Gray out entire row from Date column to column R (18) or last column with data</t>
  </si>
  <si>
    <t>const startCol = C.date || 1;</t>
  </si>
  <si>
    <t>const endCol = Math.max(18, sh.getLastColumn()); // Column R is 18, or use last column if larger</t>
  </si>
  <si>
    <t>const rowRange = sh.getRange(rowNum, startCol, 1, endCol - startCol + 1);</t>
  </si>
  <si>
    <t>// Explicitly set background and font color to override any existing styling</t>
  </si>
  <si>
    <t>rowRange.setBackground(CFG.COLOR.OLD_DATA);</t>
  </si>
  <si>
    <t>rowRange.setFontColor(CFG.COLOR.OLD_DATA_TEXT);</t>
  </si>
  <si>
    <t>grayedOutCount++;</t>
  </si>
  <si>
    <t>log_("Grayed out old row", { room, row: rowNum, startCol: startCol, endCol: endCol });</t>
  </si>
  <si>
    <t>} catch (rangeError) {</t>
  </si>
  <si>
    <t>log_("Error graying out row", { room, row: rowNum, error: rangeError.toString() });</t>
  </si>
  <si>
    <t>// Process all rows to find and gray out old data</t>
  </si>
  <si>
    <t>for (let i = 1; i &lt; data.length; i++) {</t>
  </si>
  <si>
    <t>// Check CheckOut value from both array and direct cell read for robustness</t>
  </si>
  <si>
    <t>let checkOutValue = null;</t>
  </si>
  <si>
    <t>checkOutValue = data[i][C.checkOut - 1];</t>
  </si>
  <si>
    <t>// Also check the cell directly in case array value doesn't match</t>
  </si>
  <si>
    <t>checkOutValue = checkoutCell;</t>
  </si>
  <si>
    <t>// Also check CheckOutTime as an additional indicator</t>
  </si>
  <si>
    <t>// If CheckOutTime exists, the room was definitely checked out</t>
  </si>
  <si>
    <t>if (!checkOut &amp;&amp; C.checkOutTime) {</t>
  </si>
  <si>
    <t>const checkOutTime = data[i][C.checkOutTime - 1];</t>
  </si>
  <si>
    <t>if (checkOutTime) {</t>
  </si>
  <si>
    <t>checkOut = true;</t>
  </si>
  <si>
    <t>log_("Using CheckOutTime as checkout indicator", { row: rowNum, room: rowRoom });</t>
  </si>
  <si>
    <t>// Skip if no room number</t>
  </si>
  <si>
    <t>// Skip if no checkout (but log for debugging)</t>
  </si>
  <si>
    <t>log_("Skipped row (no checkout)", { row: rowNum, room: rowRoom, checkOutValue: checkOutValue });</t>
  </si>
  <si>
    <t>continue;</t>
  </si>
  <si>
    <t>// Check if there's a newer row for the same room with a check-in</t>
  </si>
  <si>
    <t>// (regardless of whether that newer check-in has also checked out)</t>
  </si>
  <si>
    <t>let hasNewerCheckIn = false;</t>
  </si>
  <si>
    <t>// Normalize room number - convert to string and trim, handle both numbers and strings</t>
  </si>
  <si>
    <t>const normalizedRoom = String(rowRoom).trim().replace(/^0+/, ''); // Remove leading zeros</t>
  </si>
  <si>
    <t>for (let j = i + 1; j &lt; data.length; j++) {</t>
  </si>
  <si>
    <t>const newerRoom = data[j][C.room - 1];</t>
  </si>
  <si>
    <t>if (!newerRoom) continue;</t>
  </si>
  <si>
    <t>// Normalize newer room the same way</t>
  </si>
  <si>
    <t>const normalizedNewerRoom = String(newerRoom).trim().replace(/^0+/, '');</t>
  </si>
  <si>
    <t>// Compare room numbers (should match after normalization)</t>
  </si>
  <si>
    <t>const roomsMatch = normalizedRoom === normalizedNewerRoom;</t>
  </si>
  <si>
    <t>if (roomsMatch) {</t>
  </si>
  <si>
    <t>const newerCheckIn = C.checkIn ? toYes_(data[j][C.checkIn - 1]) : false;</t>
  </si>
  <si>
    <t>// Also check cell directly for check-in</t>
  </si>
  <si>
    <t>let checkInValue = newerCheckIn;</t>
  </si>
  <si>
    <t>if (!checkInValue &amp;&amp; C.checkIn) {</t>
  </si>
  <si>
    <t>const checkInCell = sh.getRange(j + 1, C.checkIn).getValue();</t>
  </si>
  <si>
    <t>checkInValue = toYes_(checkInCell);</t>
  </si>
  <si>
    <t>// Also check CheckInTime as additional indicator</t>
  </si>
  <si>
    <t>if (!checkInValue &amp;&amp; C.checkInTime) {</t>
  </si>
  <si>
    <t>const checkInTime = data[j][C.checkInTime - 1];</t>
  </si>
  <si>
    <t>if (checkInTime) {</t>
  </si>
  <si>
    <t>checkInValue = true;</t>
  </si>
  <si>
    <t>if (checkInValue) {</t>
  </si>
  <si>
    <t>hasNewerCheckIn = true;</t>
  </si>
  <si>
    <t>log_("Found newer check-in", { oldRow: rowNum, newRow: j + 1, room: normalizedRoom });</t>
  </si>
  <si>
    <t>break;</t>
  </si>
  <si>
    <t>// If there's a newer check-in, gray out this old row (entire row from Date to column R or last column)</t>
  </si>
  <si>
    <t>if (hasNewerCheckIn) {</t>
  </si>
  <si>
    <t>// Gray out entire row from Date column to column R (18) or last column with data, whichever is larger</t>
  </si>
  <si>
    <t>log_("Grayed out old row", { room: rowRoom, row: rowNum, startCol: startCol, endCol: endCol });</t>
  </si>
  <si>
    <t>log_("Error graying out row", { room: rowRoom, row: rowNum, error: rangeError.toString() });</t>
  </si>
  <si>
    <t>// Debug: log rows that have checkout but no newer check-in</t>
  </si>
  <si>
    <t>log_("Skipped row (no newer check-in)", { room: rowRoom, row: rowNum, checkOut: checkOut });</t>
  </si>
  <si>
    <t>log_("Grayed out old rows completed", { count: grayedOutCount });</t>
  </si>
  <si>
    <t>return grayedOutCount;</t>
  </si>
  <si>
    <t>function handleHKDone_(sh, row, C) {</t>
  </si>
  <si>
    <t>if (!C.hkDone) return;</t>
  </si>
  <si>
    <t>// Check if room is already occupied by a newer check-in</t>
  </si>
  <si>
    <t>// If so, don't set "Cleaned - ReadyFor Rent" because the room is already rented</t>
  </si>
  <si>
    <t>const isRoomOccupied = isRoomCurrentlyOccupied_(sh, room, row, C);</t>
  </si>
  <si>
    <t>// Set cleaned time if not already set</t>
  </si>
  <si>
    <t>if (C.cleanedTime &amp;&amp; !sh.getRange(row, C.cleanedTime).getValue()) {</t>
  </si>
  <si>
    <t>sh.getRange(row, C.cleanedTime).setValue(nowEST_());</t>
  </si>
  <si>
    <t>// Update HK Status only if room is not currently occupied</t>
  </si>
  <si>
    <t>if (isRoomOccupied) {</t>
  </si>
  <si>
    <t>// Room is already occupied, clear HK Status to avoid confusion</t>
  </si>
  <si>
    <t>sh.getRange(row, C.hkStatus).setValue("").setBackground("");</t>
  </si>
  <si>
    <t>// Room is available, set to "Cleaned - ReadyFor Rent"</t>
  </si>
  <si>
    <t>sh.getRange(row, C.hkStatus).setValue(CFG.HK_DONE_TEXT).setBackground(CFG.COLOR.HK_DONE);</t>
  </si>
  <si>
    <t>// Color code HK Done cell</t>
  </si>
  <si>
    <t>sh.getRange(row, C.hkDone).setBackground(CFG.COLOR.HK_DONE);</t>
  </si>
  <si>
    <t>// Update Daily Dashboard (non-blocking)</t>
  </si>
  <si>
    <t>log_("Error updating dashboard on HK Done", { error: error.toString() });</t>
  </si>
  <si>
    <t>log_("HK Done processed", { room: room, row, isRoomOccupied });</t>
  </si>
  <si>
    <t>log_("Error in handleHKDone_", { error: error.toString(), row });</t>
  </si>
  <si>
    <t>/* ===================== PAYMENT TYPE HANDLING ===================== */</t>
  </si>
  <si>
    <t>function handlePaymentTypeChange_(sh, row, C, paymentType) {</t>
  </si>
  <si>
    <t>if (!C.paymentType) return;</t>
  </si>
  <si>
    <t>const normalized = paymentType.trim();</t>
  </si>
  <si>
    <t>let color = CFG.COLOR.PAYMENT_OTHER;</t>
  </si>
  <si>
    <t>if (normalized.toLowerCase().includes("cash")) {</t>
  </si>
  <si>
    <t>color = CFG.COLOR.PAYMENT_CASH;</t>
  </si>
  <si>
    <t>} else if (normalized.toLowerCase().includes("card") || normalized.toLowerCase().includes("credit") || normalized.toLowerCase().includes("debit")) {</t>
  </si>
  <si>
    <t>color = CFG.COLOR.PAYMENT_CARD;</t>
  </si>
  <si>
    <t>sh.getRange(row, C.paymentType).setBackground(color);</t>
  </si>
  <si>
    <t>// Validate payment type if needed</t>
  </si>
  <si>
    <t>if (CFG.PAYMENT_TYPES.length &gt; 0 &amp;&amp; !CFG.PAYMENT_TYPES.some(pt =&gt; normalized.toLowerCase().includes(pt.toLowerCase()))) {</t>
  </si>
  <si>
    <t>// Payment type not in standard list, but allow it</t>
  </si>
  <si>
    <t>log_("Non-standard payment type", { paymentType: normalized, row });</t>
  </si>
  <si>
    <t>log_("Error in handlePaymentTypeChange_", { error: error.toString(), row });</t>
  </si>
  <si>
    <t>/* ===================== REPORTING ===================== */</t>
  </si>
  <si>
    <t>function menuDailyReport() {</t>
  </si>
  <si>
    <t>if (!sh) {</t>
  </si>
  <si>
    <t>SpreadsheetApp.getUi().alert("Sheet not found: " + CFG.SHEET);</t>
  </si>
  <si>
    <t>const today = nowEST_();</t>
  </si>
  <si>
    <t>const report = generateDailyReport_(sh, today);</t>
  </si>
  <si>
    <t>showReportDialog_("Daily Report - " + fmt_(today, "MM/dd/yyyy"), report);</t>
  </si>
  <si>
    <t>log_("Error in menuDailyReport", { error: error.toString() });</t>
  </si>
  <si>
    <t>SpreadsheetApp.getUi().alert("Error generating report: " + error.toString());</t>
  </si>
  <si>
    <t>function menuWeeklyReport() {</t>
  </si>
  <si>
    <t>const report = generateWeeklyReport_(sh, today);</t>
  </si>
  <si>
    <t>showReportDialog_("Weekly Report - Week of " + fmt_(today, "MM/dd/yyyy"), report);</t>
  </si>
  <si>
    <t>log_("Error in menuWeeklyReport", { error: error.toString() });</t>
  </si>
  <si>
    <t>function menuMonthlyReport() {</t>
  </si>
  <si>
    <t>const report = generateMonthlyReport_(sh, today);</t>
  </si>
  <si>
    <t>showReportDialog_("Monthly Report - " + fmt_(today, "MMMM yyyy"), report);</t>
  </si>
  <si>
    <t>log_("Error in menuMonthlyReport", { error: error.toString() });</t>
  </si>
  <si>
    <t>function menuRoomOccupancyReport() {</t>
  </si>
  <si>
    <t>const report = generateRoomOccupancyReport_(sh);</t>
  </si>
  <si>
    <t>showReportDialog_("Room Occupancy Report", report);</t>
  </si>
  <si>
    <t>log_("Error in menuRoomOccupancyReport", { error: error.toString() });</t>
  </si>
  <si>
    <t>function generateDailyReport_(sh, date) {</t>
  </si>
  <si>
    <t>const dateStr = fmt_(date, "MM/dd/yyyy");</t>
  </si>
  <si>
    <t>let checkIns = 0, checkOuts = 0, revenue = 0, roomsOccupied = 0;</t>
  </si>
  <si>
    <t>const rooms = new Set();</t>
  </si>
  <si>
    <t>const row = i + 1;</t>
  </si>
  <si>
    <t>const rowDate = C.date ? (data[i][C.date - 1] ? fmt_(data[i][C.date - 1], "MM/dd/yyyy") : "") : "";</t>
  </si>
  <si>
    <t>const total = C.total ? toNumber_(data[i][C.total - 1]) : 0;</t>
  </si>
  <si>
    <t>const room = C.room ? data[i][C.room - 1] : "";</t>
  </si>
  <si>
    <t>if (rowDate === dateStr || (!rowDate &amp;&amp; (checkIn || checkOut))) {</t>
  </si>
  <si>
    <t>if (checkIn) {</t>
  </si>
  <si>
    <t>checkIns++;</t>
  </si>
  <si>
    <t>if (room) rooms.add(room);</t>
  </si>
  <si>
    <t>checkOuts++;</t>
  </si>
  <si>
    <t>revenue += total;</t>
  </si>
  <si>
    <t>// Count currently occupied rooms</t>
  </si>
  <si>
    <t>if (checkIn &amp;&amp; !checkOut &amp;&amp; room) {</t>
  </si>
  <si>
    <t>roomsOccupied++;</t>
  </si>
  <si>
    <t>return {</t>
  </si>
  <si>
    <t>date: dateStr,</t>
  </si>
  <si>
    <t>checkIns: checkIns,</t>
  </si>
  <si>
    <t>checkOuts: checkOuts,</t>
  </si>
  <si>
    <t>revenue: revenue,</t>
  </si>
  <si>
    <t>roomsOccupied: roomsOccupied,</t>
  </si>
  <si>
    <t>occupancyRate: rooms.size &gt; 0 ? ((roomsOccupied / rooms.size) * 100).toFixed(1) + "%" : "N/A"</t>
  </si>
  <si>
    <t>function generateWeeklyReport_(sh, date) {</t>
  </si>
  <si>
    <t>const startOfWeek = new Date(date);</t>
  </si>
  <si>
    <t>startOfWeek.setDate(date.getDate() - date.getDay()); // Sunday</t>
  </si>
  <si>
    <t>const endOfWeek = new Date(startOfWeek);</t>
  </si>
  <si>
    <t>endOfWeek.setDate(startOfWeek.getDate() + 6);</t>
  </si>
  <si>
    <t>let totalRevenue = 0, totalCheckIns = 0, totalCheckOuts = 0;</t>
  </si>
  <si>
    <t>const dailyStats = {};</t>
  </si>
  <si>
    <t>const rowDate = C.date ? data[i][C.date - 1] : null;</t>
  </si>
  <si>
    <t>if (!rowDate) continue;</t>
  </si>
  <si>
    <t>const dateObj = rowDate instanceof Date ? rowDate : new Date(rowDate);</t>
  </si>
  <si>
    <t>if (dateObj &gt;= startOfWeek &amp;&amp; dateObj &lt;= endOfWeek) {</t>
  </si>
  <si>
    <t>const dayStr = fmt_(dateObj, "MM/dd/yyyy");</t>
  </si>
  <si>
    <t>if (!dailyStats[dayStr]) {</t>
  </si>
  <si>
    <t>dailyStats[dayStr] = { checkIns: 0, checkOuts: 0, revenue: 0 };</t>
  </si>
  <si>
    <t>dailyStats[dayStr].checkIns++;</t>
  </si>
  <si>
    <t>totalCheckIns++;</t>
  </si>
  <si>
    <t>dailyStats[dayStr].checkOuts++;</t>
  </si>
  <si>
    <t>dailyStats[dayStr].revenue += total;</t>
  </si>
  <si>
    <t>totalCheckOuts++;</t>
  </si>
  <si>
    <t>totalRevenue += total;</t>
  </si>
  <si>
    <t>period: fmt_(startOfWeek, "MM/dd/yyyy") + " to " + fmt_(endOfWeek, "MM/dd/yyyy"),</t>
  </si>
  <si>
    <t>totalRevenue: totalRevenue,</t>
  </si>
  <si>
    <t>totalCheckIns: totalCheckIns,</t>
  </si>
  <si>
    <t>totalCheckOuts: totalCheckOuts,</t>
  </si>
  <si>
    <t>dailyStats: dailyStats</t>
  </si>
  <si>
    <t>function generateMonthlyReport_(sh, date) {</t>
  </si>
  <si>
    <t>const year = date.getFullYear();</t>
  </si>
  <si>
    <t>const month = date.getMonth();</t>
  </si>
  <si>
    <t>const startOfMonth = new Date(year, month, 1);</t>
  </si>
  <si>
    <t>const endOfMonth = new Date(year, month + 1, 0);</t>
  </si>
  <si>
    <t>const paymentTypes = {};</t>
  </si>
  <si>
    <t>if (dateObj.getMonth() === month &amp;&amp; dateObj.getFullYear() === year) {</t>
  </si>
  <si>
    <t>const paymentType = C.paymentType ? (data[i][C.paymentType - 1] || "Unknown") : "Unknown";</t>
  </si>
  <si>
    <t>if (checkIn) totalCheckIns++;</t>
  </si>
  <si>
    <t>if (!paymentTypes[paymentType]) paymentTypes[paymentType] = 0;</t>
  </si>
  <si>
    <t>paymentTypes[paymentType] += total;</t>
  </si>
  <si>
    <t>period: fmt_(startOfMonth, "MMMM yyyy"),</t>
  </si>
  <si>
    <t>paymentTypes: paymentTypes,</t>
  </si>
  <si>
    <t>averageRevenue: totalCheckOuts &gt; 0 ? (totalRevenue / totalCheckOuts).toFixed(2) : 0</t>
  </si>
  <si>
    <t>function generateRoomOccupancyReport_(sh) {</t>
  </si>
  <si>
    <t>const roomStats = {};</t>
  </si>
  <si>
    <t>if (!room) continue;</t>
  </si>
  <si>
    <t>if (!roomStats[room]) {</t>
  </si>
  <si>
    <t>roomStats[room] = {</t>
  </si>
  <si>
    <t>checkIns: 0,</t>
  </si>
  <si>
    <t>checkOuts: 0,</t>
  </si>
  <si>
    <t>revenue: 0,</t>
  </si>
  <si>
    <t>nights: 0</t>
  </si>
  <si>
    <t>const nights = C.nights ? toNumber_(data[i][C.nights - 1]) : 0;</t>
  </si>
  <si>
    <t>if (checkIn) roomStats[room].checkIns++;</t>
  </si>
  <si>
    <t>roomStats[room].checkOuts++;</t>
  </si>
  <si>
    <t>roomStats[room].revenue += total;</t>
  </si>
  <si>
    <t>roomStats[room].nights += nights;</t>
  </si>
  <si>
    <t>return roomStats;</t>
  </si>
  <si>
    <t>function showReportDialog_(title, data) {</t>
  </si>
  <si>
    <t>let html = `&lt;html&gt;&lt;body style="font-family:Arial; padding:20px;"&gt;&lt;h2&gt;${title}&lt;/h2&gt;`;</t>
  </si>
  <si>
    <t>if (data.date) {</t>
  </si>
  <si>
    <t>// Daily report</t>
  </si>
  <si>
    <t>html += `&lt;p&gt;&lt;b&gt;Date:&lt;/b&gt; ${data.date}&lt;/p&gt;`;</t>
  </si>
  <si>
    <t>html += `&lt;p&gt;&lt;b&gt;Check-ins:&lt;/b&gt; ${data.checkIns}&lt;/p&gt;`;</t>
  </si>
  <si>
    <t>html += `&lt;p&gt;&lt;b&gt;Check-outs:&lt;/b&gt; ${data.checkOuts}&lt;/p&gt;`;</t>
  </si>
  <si>
    <t>html += `&lt;p&gt;&lt;b&gt;Revenue:&lt;/b&gt; $${data.revenue.toFixed(2)}&lt;/p&gt;`;</t>
  </si>
  <si>
    <t>html += `&lt;p&gt;&lt;b&gt;Rooms Occupied:&lt;/b&gt; ${data.roomsOccupied}&lt;/p&gt;`;</t>
  </si>
  <si>
    <t>html += `&lt;p&gt;&lt;b&gt;Occupancy Rate:&lt;/b&gt; ${data.occupancyRate}&lt;/p&gt;`;</t>
  </si>
  <si>
    <t>} else if (data.period) {</t>
  </si>
  <si>
    <t>// Weekly report</t>
  </si>
  <si>
    <t>html += `&lt;p&gt;&lt;b&gt;Period:&lt;/b&gt; ${data.period}&lt;/p&gt;`;</t>
  </si>
  <si>
    <t>html += `&lt;p&gt;&lt;b&gt;Total Check-ins:&lt;/b&gt; ${data.totalCheckIns}&lt;/p&gt;`;</t>
  </si>
  <si>
    <t>html += `&lt;p&gt;&lt;b&gt;Total Check-outs:&lt;/b&gt; ${data.totalCheckOuts}&lt;/p&gt;`;</t>
  </si>
  <si>
    <t>html += `&lt;p&gt;&lt;b&gt;Total Revenue:&lt;/b&gt; $${data.totalRevenue.toFixed(2)}&lt;/p&gt;`;</t>
  </si>
  <si>
    <t>html += `&lt;h3&gt;Daily Breakdown:&lt;/h3&gt;&lt;ul&gt;`;</t>
  </si>
  <si>
    <t>for (const [day, stats] of Object.entries(data.dailyStats)) {</t>
  </si>
  <si>
    <t>html += `&lt;li&gt;${day}: ${stats.checkIns} check-ins, ${stats.checkOuts} check-outs, $${stats.revenue.toFixed(2)}&lt;/li&gt;`;</t>
  </si>
  <si>
    <t>html += `&lt;/ul&gt;`;</t>
  </si>
  <si>
    <t>} else if (data.paymentTypes) {</t>
  </si>
  <si>
    <t>// Monthly report</t>
  </si>
  <si>
    <t>html += `&lt;p&gt;&lt;b&gt;Average Revenue per Check-out:&lt;/b&gt; $${data.averageRevenue}&lt;/p&gt;`;</t>
  </si>
  <si>
    <t>html += `&lt;h3&gt;Revenue by Payment Type:&lt;/h3&gt;&lt;ul&gt;`;</t>
  </si>
  <si>
    <t>for (const [type, amount] of Object.entries(data.paymentTypes)) {</t>
  </si>
  <si>
    <t>html += `&lt;li&gt;${type}: $${amount.toFixed(2)}&lt;/li&gt;`;</t>
  </si>
  <si>
    <t>// Room occupancy report</t>
  </si>
  <si>
    <t>html += `&lt;h3&gt;Room Statistics:&lt;/h3&gt;&lt;table border="1" cellpadding="5" style="border-collapse:collapse;"&gt;&lt;tr&gt;&lt;th&gt;Room&lt;/th&gt;&lt;th&gt;Check-ins&lt;/th&gt;&lt;th&gt;Check-outs&lt;/th&gt;&lt;th&gt;Revenue&lt;/th&gt;&lt;th&gt;Total Nights&lt;/th&gt;&lt;/tr&gt;`;</t>
  </si>
  <si>
    <t>for (const [room, stats] of Object.entries(data)) {</t>
  </si>
  <si>
    <t>html += `&lt;tr&gt;&lt;td&gt;${room}&lt;/td&gt;&lt;td&gt;${stats.checkIns}&lt;/td&gt;&lt;td&gt;${stats.checkOuts}&lt;/td&gt;&lt;td&gt;$${stats.revenue.toFixed(2)}&lt;/td&gt;&lt;td&gt;${stats.nights}&lt;/td&gt;&lt;/tr&gt;`;</t>
  </si>
  <si>
    <t>html += `&lt;/table&gt;`;</t>
  </si>
  <si>
    <t>html += `&lt;/body&gt;&lt;/html&gt;`;</t>
  </si>
  <si>
    <t>const htmlOutput = HtmlService.createHtmlOutput(html).setWidth(600).setHeight(400);</t>
  </si>
  <si>
    <t>SpreadsheetApp.getUi().showModalDialog(htmlOutput, title);</t>
  </si>
  <si>
    <t>/* ===================== DASHBOARD ===================== */</t>
  </si>
  <si>
    <t>function menuRoomAvailability() {</t>
  </si>
  <si>
    <t>const availability = getRoomAvailability_(sh);</t>
  </si>
  <si>
    <t>showAvailabilityDialog_(availability);</t>
  </si>
  <si>
    <t>log_("Error in menuRoomAvailability", { error: error.toString() });</t>
  </si>
  <si>
    <t>function menuTodaysCheckins() {</t>
  </si>
  <si>
    <t>const today = fmt_(nowEST_(), "MM/dd/yyyy");</t>
  </si>
  <si>
    <t>const checkins = getTodaysCheckins_(sh, today);</t>
  </si>
  <si>
    <t>showListDialog_("Today's Check-ins (" + today + ")", checkins);</t>
  </si>
  <si>
    <t>log_("Error in menuTodaysCheckins", { error: error.toString() });</t>
  </si>
  <si>
    <t>function menuTodaysCheckouts() {</t>
  </si>
  <si>
    <t>const checkouts = getTodaysCheckouts_(sh, today);</t>
  </si>
  <si>
    <t>showListDialog_("Today's Check-outs (" + today + ")", checkouts);</t>
  </si>
  <si>
    <t>log_("Error in menuTodaysCheckouts", { error: error.toString() });</t>
  </si>
  <si>
    <t>function menuPendingHousekeeping() {</t>
  </si>
  <si>
    <t>const pending = getPendingHousekeeping_(sh);</t>
  </si>
  <si>
    <t>showPendingHousekeepingReport_(pending);</t>
  </si>
  <si>
    <t>log_("Error in menuPendingHousekeeping", { error: error.toString() });</t>
  </si>
  <si>
    <t>function getRoomAvailability_(sh) {</t>
  </si>
  <si>
    <t>const rooms = {};</t>
  </si>
  <si>
    <t>if (!rooms[room]) {</t>
  </si>
  <si>
    <t>rooms[room] = { status: "Available", guest: "", checkInTime: "", checkOutTime: "" };</t>
  </si>
  <si>
    <t>const guest = C.guest ? data[i][C.guest - 1] : "";</t>
  </si>
  <si>
    <t>const checkInTime = C.checkInTime ? data[i][C.checkInTime - 1] : "";</t>
  </si>
  <si>
    <t>const checkOutTime = C.checkOutTime ? data[i][C.checkOutTime - 1] : "";</t>
  </si>
  <si>
    <t>const hkDone = C.hkDone ? toYes_(data[i][C.hkDone - 1]) : false;</t>
  </si>
  <si>
    <t>rooms[room].status = "Occupied";</t>
  </si>
  <si>
    <t>rooms[room].guest = guest;</t>
  </si>
  <si>
    <t>rooms[room].checkInTime = checkInTime ? fmt_(checkInTime, "MM/dd/yyyy hh:mm a") : "";</t>
  </si>
  <si>
    <t>} else if (checkOut &amp;&amp; !hkDone) {</t>
  </si>
  <si>
    <t>rooms[room].status = "Ready for Cleaning";</t>
  </si>
  <si>
    <t>rooms[room].checkOutTime = checkOutTime ? fmt_(checkOutTime, "MM/dd/yyyy hh:mm a") : "";</t>
  </si>
  <si>
    <t>} else if (checkOut &amp;&amp; hkDone) {</t>
  </si>
  <si>
    <t>rooms[room].status = "Available";</t>
  </si>
  <si>
    <t>return rooms;</t>
  </si>
  <si>
    <t>function getTodaysCheckins_(sh, today) {</t>
  </si>
  <si>
    <t>const checkins = [];</t>
  </si>
  <si>
    <t>if (checkIn &amp;&amp; (rowDate === today || (checkInTime &amp;&amp; fmt_(checkInTime, "MM/dd/yyyy") === today))) {</t>
  </si>
  <si>
    <t>checkins.push({</t>
  </si>
  <si>
    <t>room: C.room ? data[i][C.room - 1] : "",</t>
  </si>
  <si>
    <t>guest: C.guest ? data[i][C.guest - 1] : "",</t>
  </si>
  <si>
    <t>time: checkInTime ? fmt_(checkInTime, "hh:mm a") : ""</t>
  </si>
  <si>
    <t>return checkins;</t>
  </si>
  <si>
    <t>function getTodaysCheckouts_(sh, today) {</t>
  </si>
  <si>
    <t>const checkouts = [];</t>
  </si>
  <si>
    <t>if (checkOut &amp;&amp; (rowDate === today || (checkOutTime &amp;&amp; fmt_(checkOutTime, "MM/dd/yyyy") === today))) {</t>
  </si>
  <si>
    <t>checkouts.push({</t>
  </si>
  <si>
    <t>total: C.total ? toNumber_(data[i][C.total - 1]) : 0,</t>
  </si>
  <si>
    <t>time: checkOutTime ? fmt_(checkOutTime, "hh:mm a") : ""</t>
  </si>
  <si>
    <t>return checkouts;</t>
  </si>
  <si>
    <t>function getPendingHousekeeping_(sh) {</t>
  </si>
  <si>
    <t>const pending = [];</t>
  </si>
  <si>
    <t>if (checkOut &amp;&amp; !hkDone) {</t>
  </si>
  <si>
    <t>pending.push({</t>
  </si>
  <si>
    <t>checkOutTime: C.checkOutTime ? (data[i][C.checkOutTime - 1] ? fmt_(data[i][C.checkOutTime - 1], "MM/dd/yyyy hh:mm a") : "") : ""</t>
  </si>
  <si>
    <t>return pending;</t>
  </si>
  <si>
    <t>function showAvailabilityDialog_(availability) {</t>
  </si>
  <si>
    <t>let html = `&lt;html&gt;&lt;body style="font-family:Arial; padding:20px;"&gt;&lt;h2&gt;Room Availability&lt;/h2&gt;`;</t>
  </si>
  <si>
    <t>html += `&lt;table border="1" cellpadding="5" style="border-collapse:collapse; width:100%;"&gt;&lt;tr&gt;&lt;th&gt;Room&lt;/th&gt;&lt;th&gt;Status&lt;/th&gt;&lt;th&gt;Guest&lt;/th&gt;&lt;th&gt;Time&lt;/th&gt;&lt;/tr&gt;`;</t>
  </si>
  <si>
    <t>const sortedRooms = Object.keys(availability).sort();</t>
  </si>
  <si>
    <t>for (const room of sortedRooms) {</t>
  </si>
  <si>
    <t>const info = availability[room];</t>
  </si>
  <si>
    <t>html += `&lt;tr&gt;&lt;td&gt;${room}&lt;/td&gt;&lt;td&gt;${info.status}&lt;/td&gt;&lt;td&gt;${info.guest || "-"}&lt;/td&gt;&lt;td&gt;${info.checkInTime || info.checkOutTime || "-"}&lt;/td&gt;&lt;/tr&gt;`;</t>
  </si>
  <si>
    <t>html += `&lt;/table&gt;&lt;/body&gt;&lt;/html&gt;`;</t>
  </si>
  <si>
    <t>const htmlOutput = HtmlService.createHtmlOutput(html).setWidth(700).setHeight(500);</t>
  </si>
  <si>
    <t>SpreadsheetApp.getUi().showModalDialog(htmlOutput, "Room Availability");</t>
  </si>
  <si>
    <t>function showListDialog_(title, items) {</t>
  </si>
  <si>
    <t>if (items.length === 0) {</t>
  </si>
  <si>
    <t>html += `&lt;p&gt;No items found.&lt;/p&gt;`;</t>
  </si>
  <si>
    <t>html += `&lt;table border="1" cellpadding="5" style="border-collapse:collapse; width:100%;"&gt;`;</t>
  </si>
  <si>
    <t>// Determine columns from first item</t>
  </si>
  <si>
    <t>const keys = Object.keys(items[0] || {});</t>
  </si>
  <si>
    <t>html += `&lt;tr&gt;`;</t>
  </si>
  <si>
    <t>for (const key of keys) {</t>
  </si>
  <si>
    <t>html += `&lt;th&gt;${key.charAt(0).toUpperCase() + key.slice(1).replace(/([A-Z])/g, ' $1')}&lt;/th&gt;`;</t>
  </si>
  <si>
    <t>html += `&lt;/tr&gt;`;</t>
  </si>
  <si>
    <t>for (const item of items) {</t>
  </si>
  <si>
    <t>const value = item[key];</t>
  </si>
  <si>
    <t>html += `&lt;td&gt;${value || "-"}&lt;/td&gt;`;</t>
  </si>
  <si>
    <t>/* ===================== GUEST HISTORY ===================== */</t>
  </si>
  <si>
    <t>function menuGuestHistory() {</t>
  </si>
  <si>
    <t>const response = ui.prompt("Guest History Lookup", "Enter guest name (partial match OK):", ui.ButtonSet.OK_CANCEL);</t>
  </si>
  <si>
    <t>if (response.getSelectedButton() !== ui.Button.OK) return;</t>
  </si>
  <si>
    <t>const searchTerm = response.getResponseText().trim();</t>
  </si>
  <si>
    <t>if (!searchTerm) {</t>
  </si>
  <si>
    <t>ui.alert("Please enter a guest name.");</t>
  </si>
  <si>
    <t>ui.alert("Sheet not found: " + CFG.SHEET);</t>
  </si>
  <si>
    <t>const history = getGuestHistory_(sh, searchTerm);</t>
  </si>
  <si>
    <t>showGuestHistoryDialog_(searchTerm, history);</t>
  </si>
  <si>
    <t>log_("Error in menuGuestHistory", { error: error.toString() });</t>
  </si>
  <si>
    <t>function getGuestHistory_(sh, searchTerm) {</t>
  </si>
  <si>
    <t>const history = [];</t>
  </si>
  <si>
    <t>const searchLower = searchTerm.toLowerCase();</t>
  </si>
  <si>
    <t>const guest = C.guest ? (data[i][C.guest - 1] || "").toString() : "";</t>
  </si>
  <si>
    <t>if (guest.toLowerCase().includes(searchLower)) {</t>
  </si>
  <si>
    <t>history.push({</t>
  </si>
  <si>
    <t>date: C.date ? (data[i][C.date - 1] ? fmt_(data[i][C.date - 1], "MM/dd/yyyy") : "") : "",</t>
  </si>
  <si>
    <t>guest: guest,</t>
  </si>
  <si>
    <t>nights: C.nights ? toNumber_(data[i][C.nights - 1]) : 0,</t>
  </si>
  <si>
    <t>checkIn: C.checkIn ? toYes_(data[i][C.checkIn - 1]) : false,</t>
  </si>
  <si>
    <t>checkOut: C.checkOut ? toYes_(data[i][C.checkOut - 1]) : false,</t>
  </si>
  <si>
    <t>invoiceNo: C.invoiceNo ? data[i][C.invoiceNo - 1] : ""</t>
  </si>
  <si>
    <t>return history;</t>
  </si>
  <si>
    <t>function showGuestHistoryDialog_(searchTerm, history) {</t>
  </si>
  <si>
    <t>let html = `&lt;html&gt;&lt;body style="font-family:Arial; padding:20px;"&gt;&lt;h2&gt;Guest History: "${searchTerm}"&lt;/h2&gt;`;</t>
  </si>
  <si>
    <t>if (history.length === 0) {</t>
  </si>
  <si>
    <t>html += `&lt;p&gt;No history found for "${searchTerm}".&lt;/p&gt;`;</t>
  </si>
  <si>
    <t>html += `&lt;p&gt;Found ${history.length} record(s)&lt;/p&gt;`;</t>
  </si>
  <si>
    <t>html += `&lt;tr&gt;&lt;th&gt;Date&lt;/th&gt;&lt;th&gt;Room&lt;/th&gt;&lt;th&gt;Guest&lt;/th&gt;&lt;th&gt;Nights&lt;/th&gt;&lt;th&gt;Total&lt;/th&gt;&lt;th&gt;Status&lt;/th&gt;&lt;th&gt;Invoice&lt;/th&gt;&lt;/tr&gt;`;</t>
  </si>
  <si>
    <t>for (const record of history) {</t>
  </si>
  <si>
    <t>let status = "";</t>
  </si>
  <si>
    <t>if (record.checkIn &amp;&amp; record.checkOut) status = "Checked Out";</t>
  </si>
  <si>
    <t>else if (record.checkIn) status = "Checked In";</t>
  </si>
  <si>
    <t>else status = "Pending";</t>
  </si>
  <si>
    <t>html += `&lt;td&gt;${record.date || "-"}&lt;/td&gt;`;</t>
  </si>
  <si>
    <t>html += `&lt;td&gt;${record.room || "-"}&lt;/td&gt;`;</t>
  </si>
  <si>
    <t>html += `&lt;td&gt;${record.guest || "-"}&lt;/td&gt;`;</t>
  </si>
  <si>
    <t>html += `&lt;td&gt;${record.nights}&lt;/td&gt;`;</t>
  </si>
  <si>
    <t>html += `&lt;td&gt;$${record.total.toFixed(2)}&lt;/td&gt;`;</t>
  </si>
  <si>
    <t>html += `&lt;td&gt;${status}&lt;/td&gt;`;</t>
  </si>
  <si>
    <t>html += `&lt;td&gt;${record.invoiceNo || "-"}&lt;/td&gt;`;</t>
  </si>
  <si>
    <t>// Summary</t>
  </si>
  <si>
    <t>const totalRevenue = history.reduce((sum, r) =&gt; sum + r.total, 0);</t>
  </si>
  <si>
    <t>const totalNights = history.reduce((sum, r) =&gt; sum + r.nights, 0);</t>
  </si>
  <si>
    <t>html += `&lt;p&gt;&lt;b&gt;Total Revenue:&lt;/b&gt; $${totalRevenue.toFixed(2)} | &lt;b&gt;Total Nights:&lt;/b&gt; ${totalNights}&lt;/p&gt;`;</t>
  </si>
  <si>
    <t>const htmlOutput = HtmlService.createHtmlOutput(html).setWidth(900).setHeight(600);</t>
  </si>
  <si>
    <t>SpreadsheetApp.getUi().showModalDialog(htmlOutput, "Guest History");</t>
  </si>
  <si>
    <t>/* ===================== BULK OPERATIONS ===================== */</t>
  </si>
  <si>
    <t>function menuBulkGenerateInvoices() {</t>
  </si>
  <si>
    <t>const range = sh.getActiveRange();</t>
  </si>
  <si>
    <t>if (!range) {</t>
  </si>
  <si>
    <t>SpreadsheetApp.getUi().alert("Please select rows first.");</t>
  </si>
  <si>
    <t>const startRow = range.getRow();</t>
  </si>
  <si>
    <t>const endRow = range.getLastRow();</t>
  </si>
  <si>
    <t>if (startRow &lt; 2) {</t>
  </si>
  <si>
    <t>SpreadsheetApp.getUi().alert("Please select data rows (not header).");</t>
  </si>
  <si>
    <t>const response = ui.alert("Bulk Generate Invoices",</t>
  </si>
  <si>
    <t>`Generate invoices for ${endRow - startRow + 1} selected row(s)?`,</t>
  </si>
  <si>
    <t>ui.ButtonSet.YES_NO);</t>
  </si>
  <si>
    <t>if (response !== ui.Button.YES) return;</t>
  </si>
  <si>
    <t>let count = 0;</t>
  </si>
  <si>
    <t>for (let row = startRow; row &lt;= endRow; row++) {</t>
  </si>
  <si>
    <t>count++;</t>
  </si>
  <si>
    <t>log_("Error generating invoice for row", { row, error: error.toString() });</t>
  </si>
  <si>
    <t>ui.alert(`Generated ${count} invoice(s).`);</t>
  </si>
  <si>
    <t>log_("Error in menuBulkGenerateInvoices", { error: error.toString() });</t>
  </si>
  <si>
    <t>function menuBulkUpdateTaxRate() {</t>
  </si>
  <si>
    <t>const response = ui.prompt("Bulk Update Tax Rate",</t>
  </si>
  <si>
    <t>`Enter new tax rate (e.g., 0.13 or 13%):`, ui.ButtonSet.OK_CANCEL);</t>
  </si>
  <si>
    <t>const taxRateInput = response.getResponseText().trim();</t>
  </si>
  <si>
    <t>const taxRate = toTaxRate_(taxRateInput);</t>
  </si>
  <si>
    <t>if (taxRate &lt;= 0 || taxRate &gt; 1) {</t>
  </si>
  <si>
    <t>ui.alert("Invalid tax rate. Please enter a value between 0 and 1 (e.g., 0.13) or percentage (e.g., 13%).");</t>
  </si>
  <si>
    <t>if (!C.taxRate) {</t>
  </si>
  <si>
    <t>ui.alert("Tax Rate column not found.");</t>
  </si>
  <si>
    <t>sh.getRange(row, C.taxRate).setValue(taxRate);</t>
  </si>
  <si>
    <t>ui.alert(`Updated tax rate for ${count} row(s).`);</t>
  </si>
  <si>
    <t>log_("Error in menuBulkUpdateTaxRate", { error: error.toString() });</t>
  </si>
  <si>
    <t>function menuBulkCheckout() {</t>
  </si>
  <si>
    <t>const response = ui.alert("Bulk Check-out",</t>
  </si>
  <si>
    <t>`Mark ${endRow - startRow + 1} selected row(s) as checked out?`,</t>
  </si>
  <si>
    <t>if (!C.checkOut) {</t>
  </si>
  <si>
    <t>ui.alert("CheckOut column not found.");</t>
  </si>
  <si>
    <t>const checkIn = C.checkIn ? toYes_(sh.getRange(row, C.checkIn).getValue()) : false;</t>
  </si>
  <si>
    <t>const checkOut = C.checkOut ? toYes_(sh.getRange(row, C.checkOut).getValue()) : false;</t>
  </si>
  <si>
    <t>sh.getRange(row, C.checkOut).setValue("Yes");</t>
  </si>
  <si>
    <t>// Trigger the edit handler logic</t>
  </si>
  <si>
    <t>ui.alert(`Processed ${count} check-out(s).`);</t>
  </si>
  <si>
    <t>log_("Error in menuBulkCheckout", { error: error.toString() });</t>
  </si>
  <si>
    <t>function menuRefreshOldRowStyling() {</t>
  </si>
  <si>
    <t>const response = ui.alert("Refresh Old Row Styling",</t>
  </si>
  <si>
    <t>This will gray out Date and CheckOut columns for old rows (rooms that have been re-rented).\n\nContinue?,</t>
  </si>
  <si>
    <t>if (!C.date || !C.checkOut || !C.room || !C.checkIn) {</t>
  </si>
  <si>
    <t>ui.alert("Error: Required columns not found. Please ensure Date, CheckOut, Room #, and CheckIn columns exist.");</t>
  </si>
  <si>
    <t>// Debug: Show column indices</t>
  </si>
  <si>
    <t>log_("Column indices", {</t>
  </si>
  <si>
    <t>date: C.date,</t>
  </si>
  <si>
    <t>checkOut: C.checkOut,</t>
  </si>
  <si>
    <t>room: C.room,</t>
  </si>
  <si>
    <t>checkIn: C.checkIn</t>
  </si>
  <si>
    <t>const count = grayOutOldRows_(sh, null, null, C);</t>
  </si>
  <si>
    <t>SpreadsheetApp.flush(); // Ensure changes are applied</t>
  </si>
  <si>
    <t>ui.alert(`Old row styling refreshed successfully!\n\nGrayed out ${count} row(s).`);</t>
  </si>
  <si>
    <t>log_("Error in menuRefreshOldRowStyling", { error: error.toString(), stack: error.stack });</t>
  </si>
  <si>
    <t>function menuSetupOnce() {</t>
  </si>
  <si>
    <t>setupOnce();</t>
  </si>
  <si>
    <t>log_("Error in menuSetupOnce", { error: error.toString() });</t>
  </si>
  <si>
    <t>/* ===================== DAILY DASHBOARD ===================== */</t>
  </si>
  <si>
    <t>function menuUpdateDailyDashboard() {</t>
  </si>
  <si>
    <t>SpreadsheetApp.getUi().alert("Daily Dashboard updated successfully!");</t>
  </si>
  <si>
    <t>log_("Error in menuUpdateDailyDashboard", { error: error.toString() });</t>
  </si>
  <si>
    <t>SpreadsheetApp.getUi().alert("Error updating dashboard: " + error.toString());</t>
  </si>
  <si>
    <t>function updateDailyDashboard_() {</t>
  </si>
  <si>
    <t>const ss = SpreadsheetApp.getActiveSpreadsheet();</t>
  </si>
  <si>
    <t>const logSheet = ss.getSheetByName(CFG.SHEET);</t>
  </si>
  <si>
    <t>const dashboardSheet = ss.getSheetByName("Daily_Dashboard");</t>
  </si>
  <si>
    <t>if (!logSheet) {</t>
  </si>
  <si>
    <t>throw new Error(`Sheet not found: ${CFG.SHEET}`);</t>
  </si>
  <si>
    <t>if (!dashboardSheet) {</t>
  </si>
  <si>
    <t>throw new Error("Daily_Dashboard sheet not found. Please create it first.");</t>
  </si>
  <si>
    <t>const todayStr = fmt_(today, "MM/dd/yyyy");</t>
  </si>
  <si>
    <t>// Update report date</t>
  </si>
  <si>
    <t>dashboardSheet.getRange("B3").setValue(todayStr);</t>
  </si>
  <si>
    <t>// Get data from FrontDesk_Log</t>
  </si>
  <si>
    <t>const C = cols_(logSheet);</t>
  </si>
  <si>
    <t>const data = logSheet.getDataRange().getValues();</t>
  </si>
  <si>
    <t>let checkedInToday = 0;</t>
  </si>
  <si>
    <t>let checkedOutToday = 0;</t>
  </si>
  <si>
    <t>let readyForCleaningToday = 0;</t>
  </si>
  <si>
    <t>let cleanedToday = 0;</t>
  </si>
  <si>
    <t>let cashTotal = 0;</t>
  </si>
  <si>
    <t>let cardTotal = 0;</t>
  </si>
  <si>
    <t>let totalRevenue = 0;</t>
  </si>
  <si>
    <t>// Get date - check both Date column and CheckInTime/CheckOutTime</t>
  </si>
  <si>
    <t>let rowDate = "";</t>
  </si>
  <si>
    <t>if (C.date) {</t>
  </si>
  <si>
    <t>const dateVal = data[i][C.date - 1];</t>
  </si>
  <si>
    <t>if (dateVal) {</t>
  </si>
  <si>
    <t>rowDate = fmt_(dateVal instanceof Date ? dateVal : new Date(dateVal), "MM/dd/yyyy");</t>
  </si>
  <si>
    <t>// If no date column or empty, check timestamps</t>
  </si>
  <si>
    <t>if (!rowDate) {</t>
  </si>
  <si>
    <t>if (C.checkInTime &amp;&amp; data[i][C.checkInTime - 1]) {</t>
  </si>
  <si>
    <t>const checkInTime = data[i][C.checkInTime - 1];</t>
  </si>
  <si>
    <t>rowDate = fmt_(checkInTime instanceof Date ? checkInTime : new Date(checkInTime), "MM/dd/yyyy");</t>
  </si>
  <si>
    <t>} else if (C.checkOutTime &amp;&amp; data[i][C.checkOutTime - 1]) {</t>
  </si>
  <si>
    <t>rowDate = fmt_(checkOutTime instanceof Date ? checkOutTime : new Date(checkOutTime), "MM/dd/yyyy");</t>
  </si>
  <si>
    <t>const paymentType = C.paymentType ? (data[i][C.paymentType - 1] || "").toString().toLowerCase() : "";</t>
  </si>
  <si>
    <t>// Check if this row is for today</t>
  </si>
  <si>
    <t>if (rowDate === todayStr || (!rowDate &amp;&amp; (checkIn || checkOut))) {</t>
  </si>
  <si>
    <t>// Check-in today</t>
  </si>
  <si>
    <t>const checkInTime = C.checkInTime ? data[i][C.checkInTime - 1] : null;</t>
  </si>
  <si>
    <t>const checkInDate = fmt_(checkInTime instanceof Date ? checkInTime : new Date(checkInTime), "MM/dd/yyyy");</t>
  </si>
  <si>
    <t>if (checkInDate === todayStr) {</t>
  </si>
  <si>
    <t>checkedInToday++;</t>
  </si>
  <si>
    <t>} else if (rowDate === todayStr) {</t>
  </si>
  <si>
    <t>// Check-out today</t>
  </si>
  <si>
    <t>const checkOutTime = C.checkOutTime ? data[i][C.checkOutTime - 1] : null;</t>
  </si>
  <si>
    <t>const checkOutDate = fmt_(checkOutTime instanceof Date ? checkOutTime : new Date(checkOutTime), "MM/dd/yyyy");</t>
  </si>
  <si>
    <t>if (checkOutDate === todayStr) {</t>
  </si>
  <si>
    <t>checkedOutToday++;</t>
  </si>
  <si>
    <t>// Add to revenue</t>
  </si>
  <si>
    <t>// Categorize by payment type</t>
  </si>
  <si>
    <t>if (paymentType.includes("cash")) {</t>
  </si>
  <si>
    <t>cashTotal += total;</t>
  </si>
  <si>
    <t>} else if (paymentType.includes("card") || paymentType.includes("credit") || paymentType.includes("debit")) {</t>
  </si>
  <si>
    <t>cardTotal += total;</t>
  </si>
  <si>
    <t>// Ready for cleaning today (checked out but not cleaned)</t>
  </si>
  <si>
    <t>if (checkOut &amp;&amp; !hkDone &amp;&amp; hkStatus === CFG.HK_READY_TEXT) {</t>
  </si>
  <si>
    <t>readyForCleaningToday++;</t>
  </si>
  <si>
    <t>// Cleaned today</t>
  </si>
  <si>
    <t>if (hkDone) {</t>
  </si>
  <si>
    <t>const cleanedTime = C.cleanedTime ? data[i][C.cleanedTime - 1] : null;</t>
  </si>
  <si>
    <t>if (cleanedTime) {</t>
  </si>
  <si>
    <t>const cleanedDate = fmt_(cleanedTime instanceof Date ? cleanedTime : new Date(cleanedTime), "MM/dd/yyyy");</t>
  </si>
  <si>
    <t>if (cleanedDate === todayStr) {</t>
  </si>
  <si>
    <t>cleanedToday++;</t>
  </si>
  <si>
    <t>// Update dashboard values</t>
  </si>
  <si>
    <t>dashboardSheet.getRange("B5").setValue(checkedInToday);</t>
  </si>
  <si>
    <t>dashboardSheet.getRange("B6").setValue(checkedOutToday);</t>
  </si>
  <si>
    <t>dashboardSheet.getRange("B7").setValue(readyForCleaningToday);</t>
  </si>
  <si>
    <t>dashboardSheet.getRange("B8").setValue(cleanedToday);</t>
  </si>
  <si>
    <t>dashboardSheet.getRange("B9").setValue(cashTotal.toFixed(2));</t>
  </si>
  <si>
    <t>dashboardSheet.getRange("B10").setValue(cardTotal.toFixed(2));</t>
  </si>
  <si>
    <t>dashboardSheet.getRange("B11").setValue(totalRevenue.toFixed(2));</t>
  </si>
  <si>
    <t>// Update Cash Reconciliation - Expected Cash (from log)</t>
  </si>
  <si>
    <t>dashboardSheet.getRange("B15").setValue(cashTotal.toFixed(2));</t>
  </si>
  <si>
    <t>// Calculate Over/Short if Actual Cash Counted is entered</t>
  </si>
  <si>
    <t>const actualCash = dashboardSheet.getRange("B16").getValue();</t>
  </si>
  <si>
    <t>if (actualCash &amp;&amp; typeof actualCash === "number") {</t>
  </si>
  <si>
    <t>const overShort = actualCash - cashTotal;</t>
  </si>
  <si>
    <t>dashboardSheet.getRange("B17").setValue(overShort.toFixed(2));</t>
  </si>
  <si>
    <t>// Color code: green if over, red if short</t>
  </si>
  <si>
    <t>if (overShort &gt;= 0) {</t>
  </si>
  <si>
    <t>dashboardSheet.getRange("B17").setBackground("#C6EFCE"); // Green</t>
  </si>
  <si>
    <t>dashboardSheet.getRange("B17").setBackground("#FFC7CE"); // Red</t>
  </si>
  <si>
    <t>log_("Daily Dashboard updated", {</t>
  </si>
  <si>
    <t>date: todayStr,</t>
  </si>
  <si>
    <t>checkedIn: checkedInToday,</t>
  </si>
  <si>
    <t>checkedOut: checkedOutToday,</t>
  </si>
  <si>
    <t>revenue: totalRevenue</t>
  </si>
  <si>
    <t>/* ===================== UNIFIED ROOM DASHBOARD ===================== */</t>
  </si>
  <si>
    <t>function menuUnifiedRoomDashboard() {</t>
  </si>
  <si>
    <t>const dashboard = generateUnifiedRoomDashboard_();</t>
  </si>
  <si>
    <t>showUnifiedRoomDashboard_(dashboard);</t>
  </si>
  <si>
    <t>log_("Error in menuUnifiedRoomDashboard", { error: error.toString() });</t>
  </si>
  <si>
    <t>SpreadsheetApp.getUi().alert("Error generating dashboard: " + error.toString());</t>
  </si>
  <si>
    <t>function getMaintenanceRooms_(ss) {</t>
  </si>
  <si>
    <t>// Get maintenance/construction rooms from Rooms_Master sheet</t>
  </si>
  <si>
    <t>const maintenanceRooms = [];</t>
  </si>
  <si>
    <t>const roomsSheet = ss.getSheetByName("Rooms_Master");</t>
  </si>
  <si>
    <t>if (roomsSheet) {</t>
  </si>
  <si>
    <t>const data = roomsSheet.getDataRange().getValues();</t>
  </si>
  <si>
    <t>const headers = data[0] || [];</t>
  </si>
  <si>
    <t>// Find Room # column and Status/Type column (flexible - checks both)</t>
  </si>
  <si>
    <t>const roomCol = headers.findIndex(h =&gt; (h || "").toString().toLowerCase().includes("room"));</t>
  </si>
  <si>
    <t>const statusCol = headers.findIndex(h =&gt; {</t>
  </si>
  <si>
    <t>const hLower = (h || "").toString().toLowerCase();</t>
  </si>
  <si>
    <t>return hLower.includes("status") || hLower.includes("type");</t>
  </si>
  <si>
    <t>if (roomCol &gt;= 0 &amp;&amp; statusCol &gt;= 0) {</t>
  </si>
  <si>
    <t>const room = (data[i][roomCol] || "").toString().trim();</t>
  </si>
  <si>
    <t>const status = (data[i][statusCol] || "").toString().toLowerCase().trim();</t>
  </si>
  <si>
    <t>if (room &amp;&amp; (status.includes("maintenance") || status.includes("construction") ||</t>
  </si>
  <si>
    <t>status.includes("out of order") || status.includes("repair"))) {</t>
  </si>
  <si>
    <t>maintenanceRooms.push(room);</t>
  </si>
  <si>
    <t>log_("Error reading maintenance rooms", { error: error.toString() });</t>
  </si>
  <si>
    <t>return maintenanceRooms;</t>
  </si>
  <si>
    <t>function getRoomLabels_(ss) {</t>
  </si>
  <si>
    <t>// Get room labels from Rooms_Master sheet</t>
  </si>
  <si>
    <t>const roomLabels = {};</t>
  </si>
  <si>
    <t>// Find Room # and Label columns</t>
  </si>
  <si>
    <t>const labelCol = headers.findIndex(h =&gt; {</t>
  </si>
  <si>
    <t>return hLower.includes("label") || hLower.includes("bed") || hLower.includes("description");</t>
  </si>
  <si>
    <t>if (roomCol &gt;= 0 &amp;&amp; labelCol &gt;= 0) {</t>
  </si>
  <si>
    <t>const label = (data[i][labelCol] || "").toString().trim();</t>
  </si>
  <si>
    <t>if (room &amp;&amp; label) {</t>
  </si>
  <si>
    <t>roomLabels[room] = label;</t>
  </si>
  <si>
    <t>log_("Error reading room labels", { error: error.toString() });</t>
  </si>
  <si>
    <t>return roomLabels;</t>
  </si>
  <si>
    <t>function generateUnifiedRoomDashboard_() {</t>
  </si>
  <si>
    <t>// Initialize room status map</t>
  </si>
  <si>
    <t>const roomStatus = {};</t>
  </si>
  <si>
    <t>const roomDetails = {};</t>
  </si>
  <si>
    <t>// Process all rows to get current status</t>
  </si>
  <si>
    <t>// Determine status (most recent booking takes precedence)</t>
  </si>
  <si>
    <t>let status = "Available";</t>
  </si>
  <si>
    <t>let details = { guest: "", checkInTime: "", checkOutTime: "", expectedCheckOut: "" };</t>
  </si>
  <si>
    <t>// Calculate expected checkout time (always 11:00 AM)</t>
  </si>
  <si>
    <t>let expectedCheckOut = "";</t>
  </si>
  <si>
    <t>if (checkInTime &amp;&amp; nights &gt; 0) {</t>
  </si>
  <si>
    <t>const checkInDate = checkInTime instanceof Date ? checkInTime : new Date(checkInTime);</t>
  </si>
  <si>
    <t>const checkoutDate = new Date(checkInDate);</t>
  </si>
  <si>
    <t>checkoutDate.setDate(checkoutDate.getDate() + nights);</t>
  </si>
  <si>
    <t>// Set checkout time to 11:00 AM</t>
  </si>
  <si>
    <t>checkoutDate.setHours(11, 0, 0, 0);</t>
  </si>
  <si>
    <t>expectedCheckOut = fmt_(checkoutDate, "MM/dd hh:mm a");</t>
  </si>
  <si>
    <t>log_("Error calculating checkout date", { error: error.toString() });</t>
  </si>
  <si>
    <t>status = "Occupied";</t>
  </si>
  <si>
    <t>details = {</t>
  </si>
  <si>
    <t>guest: guest || "",</t>
  </si>
  <si>
    <t>checkInTime: checkInTime ? fmt_(checkInTime, "MM/dd hh:mm a") : "",</t>
  </si>
  <si>
    <t>checkOutTime: "",</t>
  </si>
  <si>
    <t>expectedCheckOut: expectedCheckOut</t>
  </si>
  <si>
    <t>status = "Ready for Cleaning";</t>
  </si>
  <si>
    <t>checkOutTime: checkOutTime ? fmt_(checkOutTime, "MM/dd hh:mm a") : "",</t>
  </si>
  <si>
    <t>expectedCheckOut: ""</t>
  </si>
  <si>
    <t>// When HK Done = Yes, room is available (cleaned and ready for rent)</t>
  </si>
  <si>
    <t>status = "Available";</t>
  </si>
  <si>
    <t>guest: "",</t>
  </si>
  <si>
    <t>checkInTime: "",</t>
  </si>
  <si>
    <t>// Keep most recent status (later rows override earlier ones)</t>
  </si>
  <si>
    <t>if (!roomStatus[room] || checkIn || checkOut) {</t>
  </si>
  <si>
    <t>roomStatus[room] = status;</t>
  </si>
  <si>
    <t>roomDetails[room] = details;</t>
  </si>
  <si>
    <t>// Always generate all 60 rooms (101-160)</t>
  </si>
  <si>
    <t>const allRooms = [];</t>
  </si>
  <si>
    <t>const maintenanceRooms = getMaintenanceRooms_(ss);</t>
  </si>
  <si>
    <t>const roomLabels = getRoomLabels_(ss);</t>
  </si>
  <si>
    <t>// Generate rooms 101-160 (60 rooms total)</t>
  </si>
  <si>
    <t>for (let r = 101; r &lt;= 160; r++) {</t>
  </si>
  <si>
    <t>const roomStr = r.toString();</t>
  </si>
  <si>
    <t>const label = roomLabels[roomStr] || "";</t>
  </si>
  <si>
    <t>// Check if room is under maintenance/construction</t>
  </si>
  <si>
    <t>if (maintenanceRooms.includes(roomStr)) {</t>
  </si>
  <si>
    <t>allRooms.push({</t>
  </si>
  <si>
    <t>number: roomStr,</t>
  </si>
  <si>
    <t>label: label,</t>
  </si>
  <si>
    <t>status: "Maintenance",</t>
  </si>
  <si>
    <t>details: { guest: "", checkInTime: "", checkOutTime: "", expectedCheckOut: "" }</t>
  </si>
  <si>
    <t>// Use status from log data, or default to Available</t>
  </si>
  <si>
    <t>const details = roomDetails[roomStr] || { guest: "", checkInTime: "", checkOutTime: "", expectedCheckOut: "" };</t>
  </si>
  <si>
    <t>status: roomStatus[roomStr] || "Available",</t>
  </si>
  <si>
    <t>details: details</t>
  </si>
  <si>
    <t>// Count by status</t>
  </si>
  <si>
    <t>const counts = {</t>
  </si>
  <si>
    <t>Available: 0,</t>
  </si>
  <si>
    <t>Occupied: 0,</t>
  </si>
  <si>
    <t>Ready for Cleaning: 0,</t>
  </si>
  <si>
    <t>Cleaned - Ready: 0,</t>
  </si>
  <si>
    <t>Maintenance: 0</t>
  </si>
  <si>
    <t>// Calculate checkout statistics</t>
  </si>
  <si>
    <t>const yesterday = new Date(today);</t>
  </si>
  <si>
    <t>yesterday.setDate(yesterday.getDate() - 1);</t>
  </si>
  <si>
    <t>const yesterdayStr = fmt_(yesterday, "MM/dd/yyyy");</t>
  </si>
  <si>
    <t>let checkoutsToday = 0;</t>
  </si>
  <si>
    <t>let checkoutsYesterday = 0;</t>
  </si>
  <si>
    <t>// Forecast checkouts today based on check-in date + number of nights</t>
  </si>
  <si>
    <t>// This includes all bookings, not just currently occupied</t>
  </si>
  <si>
    <t>// Forecast: if checked in and not checked out yet, calculate expected checkout</t>
  </si>
  <si>
    <t>if (checkIn &amp;&amp; !checkOut &amp;&amp; checkInTime &amp;&amp; nights &gt; 0) {</t>
  </si>
  <si>
    <t>const expectedCheckOutDate = new Date(checkInDate);</t>
  </si>
  <si>
    <t>expectedCheckOutDate.setDate(expectedCheckOutDate.getDate() + nights);</t>
  </si>
  <si>
    <t>expectedCheckOutDate.setHours(11, 0, 0, 0); // Set to 11 AM checkout time</t>
  </si>
  <si>
    <t>const expectedCheckOutStr = fmt_(expectedCheckOutDate, "MM/dd/yyyy");</t>
  </si>
  <si>
    <t>if (expectedCheckOutStr === todayStr) {</t>
  </si>
  <si>
    <t>checkoutsToday++;</t>
  </si>
  <si>
    <t>log_("Error calculating forecast checkout", { error: error.toString() });</t>
  </si>
  <si>
    <t>// Count actual checkouts yesterday from log data</t>
  </si>
  <si>
    <t>if (checkOut &amp;&amp; checkOutTime) {</t>
  </si>
  <si>
    <t>const checkOutDate = checkOutTime instanceof Date ? checkOutTime : new Date(checkOutTime);</t>
  </si>
  <si>
    <t>const checkOutDateStr = fmt_(checkOutDate, "MM/dd/yyyy");</t>
  </si>
  <si>
    <t>if (checkOutDateStr === yesterdayStr) {</t>
  </si>
  <si>
    <t>checkoutsYesterday++;</t>
  </si>
  <si>
    <t>log_("Error parsing checkout date", { error: error.toString() });</t>
  </si>
  <si>
    <t>allRooms.forEach(room =&gt; {</t>
  </si>
  <si>
    <t>counts[room.status] = (counts[room.status] || 0) + 1;</t>
  </si>
  <si>
    <t>rooms: allRooms,</t>
  </si>
  <si>
    <t>counts: counts,</t>
  </si>
  <si>
    <t>totalRooms: allRooms.length,</t>
  </si>
  <si>
    <t>checkoutsToday: checkoutsToday,</t>
  </si>
  <si>
    <t>checkoutsYesterday: checkoutsYesterday</t>
  </si>
  <si>
    <t>function showUnifiedRoomDashboard_(dashboard) {</t>
  </si>
  <si>
    <t>const today = fmt_(nowEST_(), "MM/dd/yyyy hh:mm a");</t>
  </si>
  <si>
    <t>let html = `&lt;html&gt;&lt;head&gt;</t>
  </si>
  <si>
    <t>&lt;style&gt;</t>
  </si>
  <si>
    <t>body { font-family: Arial, sans-serif; padding: 20px; background-color: #f5f5f5; }</t>
  </si>
  <si>
    <t>.header { background-color: #2c3e50; color: white; padding: 15px; border-radius: 5px; margin-bottom: 20px; position: relative; }</t>
  </si>
  <si>
    <t>.print-btn { position: absolute; top: 15px; right: 15px; background-color: white; color: #2c3e50; border: none; padding: 8px 16px; border-radius: 4px; cursor: pointer; font-weight: bold; }</t>
  </si>
  <si>
    <t>.print-btn:hover { background-color: #f0f0f0; }</t>
  </si>
  <si>
    <t>.stats { display: flex; gap: 15px; margin-bottom: 20px; flex-wrap: wrap; }</t>
  </si>
  <si>
    <t>.stat-box { background: white; padding: 15px; border-radius: 5px; box-shadow: 0 2px 4px rgba(0,0,0,0.1); min-width: 150px; }</t>
  </si>
  <si>
    <t>.stat-box h3 { margin: 0 0 10px 0; font-size: 14px; color: #666; }</t>
  </si>
  <si>
    <t>.stat-box .number { font-size: 32px; font-weight: bold; }</t>
  </si>
  <si>
    <t>.room-grid { display: grid; grid-template-columns: repeat(auto-fill, minmax(120px, 1fr)); gap: 8px; }</t>
  </si>
  <si>
    <t>.room-card { background: white; padding: 10px; border-radius: 5px; border-left: 4px solid #ddd; box-shadow: 0 1px 3px rgba(0,0,0,0.1); }</t>
  </si>
  <si>
    <t>.room-card.occupied { border-left-color: #FFC7CE; background-color: #FFE6E6; }</t>
  </si>
  <si>
    <t>.room-card.ready { border-left-color: #FFD700; background-color: #FFEB3B; }</t>
  </si>
  <si>
    <t>.room-card.ready-for-cleaning { border-left-color: #FFD700; background-color: #FFEB3B; }</t>
  </si>
  <si>
    <t>.room-card.cleaned { border-left-color: #D5E8D4; background-color: #E8F5E9; }</t>
  </si>
  <si>
    <t>.room-card.cleaned---ready { border-left-color: #D5E8D4; background-color: #E8F5E9; }</t>
  </si>
  <si>
    <t>.room-card.available { border-left-color: #C6EFCE; background-color: #E8F5E9; }</t>
  </si>
  <si>
    <t>.room-card.maintenance { border-left-color: #D9D9D9; background-color: #F0F0F0; }</t>
  </si>
  <si>
    <t>.room-number { font-weight: bold; font-size: 16px; margin-bottom: 5px; }</t>
  </si>
  <si>
    <t>.room-status { font-size: 12px; color: #666; margin-bottom: 3px; }</t>
  </si>
  <si>
    <t>.room-guest { font-size: 11px; color: #999; }</t>
  </si>
  <si>
    <t>.legend { background: white; padding: 15px; border-radius: 5px; margin-top: 20px; }</t>
  </si>
  <si>
    <t>.legend-item { display: inline-block; margin-right: 20px; }</t>
  </si>
  <si>
    <t>.legend-color { display: inline-block; width: 20px; height: 20px; border-radius: 3px; vertical-align: middle; margin-right: 5px; }</t>
  </si>
  <si>
    <t>@media print {</t>
  </si>
  <si>
    <t>@page {</t>
  </si>
  <si>
    <t>size: landscape;</t>
  </si>
  <si>
    <t>margin: 0.5cm;</t>
  </si>
  <si>
    <t>body {</t>
  </si>
  <si>
    <t>background-color: white;</t>
  </si>
  <si>
    <t>padding: 0;</t>
  </si>
  <si>
    <t>margin: 0;</t>
  </si>
  <si>
    <t>font-size: 10px;</t>
  </si>
  <si>
    <t>.print-btn { display: none; }</t>
  </si>
  <si>
    <t>.header {</t>
  </si>
  <si>
    <t>page-break-after: avoid;</t>
  </si>
  <si>
    <t>margin-bottom: 10px;</t>
  </si>
  <si>
    <t>padding: 10px;</t>
  </si>
  <si>
    <t>background-color: #2c3e50 !important;</t>
  </si>
  <si>
    <t>-webkit-print-color-adjust: exact;</t>
  </si>
  <si>
    <t>print-color-adjust: exact;</t>
  </si>
  <si>
    <t>.header h1 { font-size: 18px; margin: 0; }</t>
  </si>
  <si>
    <t>.header p { font-size: 10px; margin: 5px 0 0 0; }</t>
  </si>
  <si>
    <t>.stats {</t>
  </si>
  <si>
    <t>page-break-inside: avoid;</t>
  </si>
  <si>
    <t>gap: 8px;</t>
  </si>
  <si>
    <t>.stat-box {</t>
  </si>
  <si>
    <t>padding: 8px;</t>
  </si>
  <si>
    <t>min-width: 100px;</t>
  </si>
  <si>
    <t>box-shadow: none;</t>
  </si>
  <si>
    <t>border: 1px solid #ddd;</t>
  </si>
  <si>
    <t>.stat-box h3 { font-size: 10px; margin: 0 0 5px 0; }</t>
  </si>
  <si>
    <t>.stat-box .number { font-size: 24px; }</t>
  </si>
  <si>
    <t>h2 {</t>
  </si>
  <si>
    <t>font-size: 14px;</t>
  </si>
  <si>
    <t>margin: 10px 0 8px 0;</t>
  </si>
  <si>
    <t>.room-grid {</t>
  </si>
  <si>
    <t>display: grid;</t>
  </si>
  <si>
    <t>grid-template-columns: repeat(9, 1fr);</t>
  </si>
  <si>
    <t>gap: 4px;</t>
  </si>
  <si>
    <t>.room-card {</t>
  </si>
  <si>
    <t>break-inside: avoid;</t>
  </si>
  <si>
    <t>padding: 6px;</t>
  </si>
  <si>
    <t>border-radius: 2px;</t>
  </si>
  <si>
    <t>min-height: auto;</t>
  </si>
  <si>
    <t>.room-number {</t>
  </si>
  <si>
    <t>font-size: 11px;</t>
  </si>
  <si>
    <t>margin-bottom: 3px;</t>
  </si>
  <si>
    <t>font-weight: bold;</t>
  </si>
  <si>
    <t>.room-status {</t>
  </si>
  <si>
    <t>font-size: 9px;</t>
  </si>
  <si>
    <t>margin-bottom: 2px;</t>
  </si>
  <si>
    <t>.room-guest {</t>
  </si>
  <si>
    <t>font-size: 8px;</t>
  </si>
  <si>
    <t>line-height: 1.2;</t>
  </si>
  <si>
    <t>.legend {</t>
  </si>
  <si>
    <t>page-break-before: avoid;</t>
  </si>
  <si>
    <t>margin-top: 10px;</t>
  </si>
  <si>
    <t>.legend h3 { font-size: 10px; margin: 0 0 5px 0; }</t>
  </si>
  <si>
    <t>.legend-item { font-size: 8px; margin-right: 15px; }</t>
  </si>
  <si>
    <t>.legend-color { width: 12px; height: 12px; }</t>
  </si>
  <si>
    <t>&lt;/style&gt;</t>
  </si>
  <si>
    <t>&lt;script&gt;</t>
  </si>
  <si>
    <t>function printDashboard() {</t>
  </si>
  <si>
    <t>window.print();</t>
  </si>
  <si>
    <t>&lt;/script&gt;</t>
  </si>
  <si>
    <t>&lt;/head&gt;&lt;body&gt;`;</t>
  </si>
  <si>
    <t>html += `&lt;div class="header"&gt;</t>
  </si>
  <si>
    <t>&lt;h1 style="margin:0;"&gt;Unified Room Dashboard&lt;/h1&gt;</t>
  </si>
  <si>
    <t>&lt;p style="margin:5px 0 0 0;"&gt;Total Rooms: ${dashboard.totalRooms} | Generated: ${today}&lt;/p&gt;</t>
  </si>
  <si>
    <t>&lt;button class="print-btn" onclick="printDashboard()"&gt;🖨️ Print&lt;/button&gt;</t>
  </si>
  <si>
    <t>&lt;/div&gt;`;</t>
  </si>
  <si>
    <t>// Statistics</t>
  </si>
  <si>
    <t>html += `&lt;div class="stats"&gt;`;</t>
  </si>
  <si>
    <t>html += `&lt;div class="stat-box"&gt;&lt;h3&gt;Available&lt;/h3&gt;&lt;div class="number" style="color:#27ae60;"&gt;${dashboard.counts.Available || 0}&lt;/div&gt;&lt;/div&gt;`;</t>
  </si>
  <si>
    <t>html += `&lt;div class="stat-box"&gt;&lt;h3&gt;Occupied&lt;/h3&gt;&lt;div class="number" style="color:#e74c3c;"&gt;${dashboard.counts.Occupied || 0}&lt;/div&gt;&lt;/div&gt;`;</t>
  </si>
  <si>
    <t>html += `&lt;div class="stat-box"&gt;&lt;h3&gt;Ready for Cleaning&lt;/h3&gt;&lt;div class="number" style="color:#f39c12;"&gt;${dashboard.counts["Ready for Cleaning"] || 0}&lt;/div&gt;&lt;/div&gt;`;</t>
  </si>
  <si>
    <t>html += `&lt;div class="stat-box"&gt;&lt;h3&gt;Cleaned - Ready&lt;/h3&gt;&lt;div class="number" style="color:#27ae60;"&gt;${dashboard.counts["Cleaned - Ready"] || 0}&lt;/div&gt;&lt;/div&gt;`;</t>
  </si>
  <si>
    <t>html += `&lt;div class="stat-box"&gt;&lt;h3&gt;Maintenance&lt;/h3&gt;&lt;div class="number" style="color:#95a5a6;"&gt;${dashboard.counts.Maintenance || 0}&lt;/div&gt;&lt;/div&gt;`;</t>
  </si>
  <si>
    <t>html += `&lt;div class="stat-box"&gt;&lt;h3&gt;Checkouts Today&lt;/h3&gt;&lt;div class="number" style="color:#3498db;"&gt;${dashboard.checkoutsToday || 0}&lt;/div&gt;&lt;/div&gt;`;</t>
  </si>
  <si>
    <t>html += `&lt;div class="stat-box"&gt;&lt;h3&gt;Checked Out Yesterday&lt;/h3&gt;&lt;div class="number" style="color:#9b59b6;"&gt;${dashboard.checkoutsYesterday || 0}&lt;/div&gt;&lt;/div&gt;`;</t>
  </si>
  <si>
    <t>html += `&lt;/div&gt;`;</t>
  </si>
  <si>
    <t>// Room grid</t>
  </si>
  <si>
    <t>html += `&lt;h2&gt;Room Status&lt;/h2&gt;&lt;div class="room-grid"&gt;`;</t>
  </si>
  <si>
    <t>dashboard.rooms.forEach(room =&gt; {</t>
  </si>
  <si>
    <t>const statusClass = room.status.toLowerCase().replace(/\s+/g, "-").replace(/[^a-z-]/g, "");</t>
  </si>
  <si>
    <t>html += `&lt;div class="room-card ${statusClass}"&gt;`;</t>
  </si>
  <si>
    <t>// Display room number with label if available</t>
  </si>
  <si>
    <t>let roomDisplay = `Room ${room.number}`;</t>
  </si>
  <si>
    <t>if (room.label) {</t>
  </si>
  <si>
    <t>roomDisplay = `RM${room.number} ${room.label}`;</t>
  </si>
  <si>
    <t>html += `&lt;div class="room-number"&gt;${roomDisplay}&lt;/div&gt;`;</t>
  </si>
  <si>
    <t>html += `&lt;div class="room-status"&gt;${room.status}&lt;/div&gt;`;</t>
  </si>
  <si>
    <t>if (room.details.expectedCheckOut &amp;&amp; room.status === "Occupied") {</t>
  </si>
  <si>
    <t>html += `&lt;div class="room-guest" style="font-size:10px; color:#e74c3c; font-weight:bold;"&gt;Out: ${room.details.expectedCheckOut}&lt;/div&gt;`;</t>
  </si>
  <si>
    <t>// Legend</t>
  </si>
  <si>
    <t>html += `&lt;div class="legend"&gt;&lt;h3&gt;Legend:&lt;/h3&gt;`;</t>
  </si>
  <si>
    <t>html += `&lt;span class="legend-item"&gt;&lt;span class="legend-color" style="background-color:#C6EFCE;"&gt;&lt;/span&gt;Available&lt;/span&gt;`;</t>
  </si>
  <si>
    <t>html += `&lt;span class="legend-item"&gt;&lt;span class="legend-color" style="background-color:#FFC7CE;"&gt;&lt;/span&gt;Occupied&lt;/span&gt;`;</t>
  </si>
  <si>
    <t>html += `&lt;span class="legend-item"&gt;&lt;span class="legend-color" style="background-color:#FFEB3B;"&gt;&lt;/span&gt;Ready for Cleaning&lt;/span&gt;`;</t>
  </si>
  <si>
    <t>html += `&lt;span class="legend-item"&gt;&lt;span class="legend-color" style="background-color:#D5E8D4;"&gt;&lt;/span&gt;Cleaned - Ready&lt;/span&gt;`;</t>
  </si>
  <si>
    <t>html += `&lt;span class="legend-item"&gt;&lt;span class="legend-color" style="background-color:#D9D9D9;"&gt;&lt;/span&gt;Maintenance&lt;/span&gt;`;</t>
  </si>
  <si>
    <t>const htmlOutput = HtmlService.createHtmlOutput(html).setWidth(1200).setHeight(800);</t>
  </si>
  <si>
    <t>SpreadsheetApp.getUi().showModalDialog(htmlOutput, "Unified Room Dashboard");</t>
  </si>
  <si>
    <t>/* ===================== ROOM MAINTENANCE MANAGEMENT ===================== */</t>
  </si>
  <si>
    <t>function menuManageRoomMaintenance() {</t>
  </si>
  <si>
    <t>let roomsSheet = ss.getSheetByName("Rooms_Master");</t>
  </si>
  <si>
    <t>// Create Rooms_Master sheet if it doesn't exist</t>
  </si>
  <si>
    <t>if (!roomsSheet) {</t>
  </si>
  <si>
    <t>roomsSheet = ss.insertSheet("Rooms_Master");</t>
  </si>
  <si>
    <t>roomsSheet.getRange(1, 1).setValue("Room #");</t>
  </si>
  <si>
    <t>roomsSheet.getRange(1, 2).setValue("Type");</t>
  </si>
  <si>
    <t>roomsSheet.getRange(1, 3).setValue("Notes");</t>
  </si>
  <si>
    <t>roomsSheet.getRange(1, 1, 1, 3).setFontWeight("bold").setBackground("#4285f4").setFontColor("white");</t>
  </si>
  <si>
    <t>// Add all 60 rooms (101-160) with default status</t>
  </si>
  <si>
    <t>const rows = [];</t>
  </si>
  <si>
    <t>rows.push([r.toString(), "Available", ""]);</t>
  </si>
  <si>
    <t>if (rows.length &gt; 0) {</t>
  </si>
  <si>
    <t>roomsSheet.getRange(2, 1, rows.length, 3).setValues(rows);</t>
  </si>
  <si>
    <t>// Add data validation for Type column</t>
  </si>
  <si>
    <t>const typeRange = roomsSheet.getRange(2, 2, rows.length, 1);</t>
  </si>
  <si>
    <t>const rule = SpreadsheetApp.newDataValidation()</t>
  </si>
  <si>
    <t>.requireValueInList(["Available", "Maintenance", "Construction", "Out of Order", "Repair"], true)</t>
  </si>
  <si>
    <t>.build();</t>
  </si>
  <si>
    <t>typeRange.setDataValidation(rule);</t>
  </si>
  <si>
    <t>SpreadsheetApp.getUi().alert("Rooms_Master sheet created! Please mark rooms as 'Maintenance' or 'Construction' in column B (Type).");</t>
  </si>
  <si>
    <t>// Sheet exists - check if it needs data validation</t>
  </si>
  <si>
    <t>const headers = roomsSheet.getRange(1, 1, 1, roomsSheet.getLastColumn()).getValues()[0];</t>
  </si>
  <si>
    <t>const typeCol = headers.findIndex(h =&gt; {</t>
  </si>
  <si>
    <t>if (typeCol &gt;= 0) {</t>
  </si>
  <si>
    <t>const lastRow = roomsSheet.getLastRow();</t>
  </si>
  <si>
    <t>if (lastRow &gt; 1) {</t>
  </si>
  <si>
    <t>const typeRange = roomsSheet.getRange(2, typeCol + 1, lastRow - 1, 1);</t>
  </si>
  <si>
    <t>// Check if validation already exists</t>
  </si>
  <si>
    <t>const existingRule = typeRange.getDataValidation();</t>
  </si>
  <si>
    <t>if (!existingRule) {</t>
  </si>
  <si>
    <t>// Activate the sheet</t>
  </si>
  <si>
    <t>ss.setActiveSheet(roomsSheet);</t>
  </si>
  <si>
    <t>SpreadsheetApp.getUi().alert("Rooms_Master sheet opened. Update room types in column B:\n- Maintenance\n- Construction\n- Out of Order\n- Repair\n\nAvailable rooms should be left as 'Available'.");</t>
  </si>
  <si>
    <t>log_("Error in menuManageRoomMaintenance", { error: error.toString() });</t>
  </si>
  <si>
    <t>/* ===================== PENDING HOUSEKEEPING REPORT ===================== */</t>
  </si>
  <si>
    <t>function showPendingHousekeepingReport_(items) {</t>
  </si>
  <si>
    <t>body { font-family: Arial, sans-serif; padding: 20px; background-color: #ffffff; }</t>
  </si>
  <si>
    <t>.header { text-align: center; margin-bottom: 25px; border-bottom: 2px solid #333; padding-bottom: 15px; }</t>
  </si>
  <si>
    <t>.motel-name { font-size: 24px; font-weight: bold; color: #2c3e50; margin: 0; }</t>
  </si>
  <si>
    <t>.motel-address { margin-top: 8px; color: #555; font-size: 13px; }</t>
  </si>
  <si>
    <t>.motel-contact { margin-top: 8px; color: #666; font-size: 12px; }</t>
  </si>
  <si>
    <t>.report-title { font-size: 20px; font-weight: bold; margin: 20px 0 10px 0; color: #2c3e50; }</t>
  </si>
  <si>
    <t>.report-date { font-size: 12px; color: #666; margin-bottom: 20px; }</t>
  </si>
  <si>
    <t>.print-btn { position: fixed; top: 20px; right: 20px; background-color: #2c3e50; color: white; border: none; padding: 10px 20px; border-radius: 4px; cursor: pointer; font-weight: bold; z-index: 1000; }</t>
  </si>
  <si>
    <t>.print-btn:hover { background-color: #34495e; }</t>
  </si>
  <si>
    <t>table { width: 100%; border-collapse: collapse; margin-top: 20px; }</t>
  </si>
  <si>
    <t>th { background-color: #2c3e50; color: white; padding: 12px; text-align: left; font-weight: bold; border: 1px solid #1a252f; }</t>
  </si>
  <si>
    <t>td { padding: 10px; border: 1px solid #ddd; }</t>
  </si>
  <si>
    <t>tr:nth-child(even) { background-color: #f9f9f9; }</t>
  </si>
  <si>
    <t>tr:hover { background-color: #f5f5f5; }</t>
  </si>
  <si>
    <t>.date-column { background-color: #fffacd; min-width: 120px; }</t>
  </si>
  <si>
    <t>.no-data { text-align: center; padding: 40px; color: #999; font-style: italic; }</t>
  </si>
  <si>
    <t>body { padding: 10px; }</t>
  </si>
  <si>
    <t>.header { page-break-after: avoid; }</t>
  </si>
  <si>
    <t>table { page-break-inside: avoid; }</t>
  </si>
  <si>
    <t>tr { page-break-inside: avoid; }</t>
  </si>
  <si>
    <t>function printReport() {</t>
  </si>
  <si>
    <t>// Motel header</t>
  </si>
  <si>
    <t>&lt;h1 class="motel-name"&gt;${CFG.MOTEL.name}&lt;/h1&gt;</t>
  </si>
  <si>
    <t>&lt;div class="motel-address"&gt;${CFG.MOTEL.addr1}&lt;br&gt;${CFG.MOTEL.addr2}&lt;/div&gt;</t>
  </si>
  <si>
    <t>&lt;div class="motel-contact"&gt;Phone: ${CFG.MOTEL.phone} | Email: ${CFG.MOTEL.email}&lt;/div&gt;</t>
  </si>
  <si>
    <t>html += `&lt;button class="print-btn" onclick="printReport()"&gt;🖨️ Print&lt;/button&gt;`;</t>
  </si>
  <si>
    <t>html += `&lt;div class="report-title"&gt;Pending Housekeeping&lt;/div&gt;`;</t>
  </si>
  <si>
    <t>html += `&lt;div class="report-date"&gt;Generated: ${today}&lt;/div&gt;`;</t>
  </si>
  <si>
    <t>html += `&lt;div class="no-data"&gt;No pending housekeeping tasks at this time.&lt;/div&gt;`;</t>
  </si>
  <si>
    <t>html += `&lt;table&gt;</t>
  </si>
  <si>
    <t>&lt;th&gt;Room&lt;/th&gt;</t>
  </si>
  <si>
    <t>&lt;th&gt;Guest&lt;/th&gt;</t>
  </si>
  <si>
    <t>&lt;th&gt;Check Out Time&lt;/th&gt;</t>
  </si>
  <si>
    <t>&lt;th class="date-column"&gt;Date Cleaned&lt;/th&gt;</t>
  </si>
  <si>
    <t>&lt;tbody&gt;`;</t>
  </si>
  <si>
    <t>html += `&lt;td&gt;&lt;strong&gt;${item.room || "-"}&lt;/strong&gt;&lt;/td&gt;`;</t>
  </si>
  <si>
    <t>html += `&lt;td&gt;${item.guest || "-"}&lt;/td&gt;`;</t>
  </si>
  <si>
    <t>html += `&lt;td&gt;${item.checkOutTime || "-"}&lt;/td&gt;`;</t>
  </si>
  <si>
    <t>html += `&lt;td class="date-column"&gt;&amp;nbsp;&lt;/td&gt;`; // Blank column for housekeeping to fill</t>
  </si>
  <si>
    <t>html += `&lt;/tbody&gt;&lt;/table&gt;`;</t>
  </si>
  <si>
    <t>html += `&lt;div style="margin-top: 20px; font-size: 11px; color: #666; text-align: center;"&gt;</t>
  </si>
  <si>
    <t>Total Rooms Pending: ${items.length}</t>
  </si>
  <si>
    <t>const htmlOutput = HtmlService.createHtmlOutput(html).setWidth(900).setHeight(700);</t>
  </si>
  <si>
    <t>SpreadsheetApp.getUi().showModalDialog(htmlOutput, "Pending Housekeeping Report");</t>
  </si>
  <si>
    <t>/* ===================== LOGGING ===================== */</t>
  </si>
  <si>
    <t>function log_(message, data) {</t>
  </si>
  <si>
    <t>if (!CFG.LOG_ENABLED) return;</t>
  </si>
  <si>
    <t>const logData = {</t>
  </si>
  <si>
    <t>timestamp: fmt_(nowEST_(), "yyyy-MM-dd HH:mm:ss"),</t>
  </si>
  <si>
    <t>message: message,</t>
  </si>
  <si>
    <t>data: data || {}</t>
  </si>
  <si>
    <t>Logger.log(JSON.stringify(logData));</t>
  </si>
  <si>
    <t>// Silently fail logging</t>
  </si>
  <si>
    <t>.addItem("Mark Selected as Checked Out", "menuBulkCheckout"));</t>
  </si>
  <si>
    <t>const i = headerRow.indexOf(name);</t>
  </si>
  <si>
    <t>// Update HK Status</t>
  </si>
  <si>
    <t>log_("HK Done processed", { room: sh.getRange(row, C.room).getValue(), row });</t>
  </si>
  <si>
    <t>showListDialog_("Pending Housekeeping", pending);</t>
  </si>
  <si>
    <t>let details = { guest: "", checkInTime: "", checkOutTime: "" };</t>
  </si>
  <si>
    <t>checkOutTime: ""</t>
  </si>
  <si>
    <t>checkOutTime: checkOutTime ? fmt_(checkOutTime, "MM/dd hh:mm a") : ""</t>
  </si>
  <si>
    <t>status = "Cleaned - Ready";</t>
  </si>
  <si>
    <t>details: { guest: "", checkInTime: "", checkOutTime: "" }</t>
  </si>
  <si>
    <t>details: roomDetails[roomStr] || { guest: "", checkInTime: "", checkOutTime: "" }</t>
  </si>
  <si>
    <t>totalRooms: allRooms.length</t>
  </si>
  <si>
    <t>let html = `&lt;html&gt;&lt;head&gt;&lt;style&gt;</t>
  </si>
  <si>
    <t>.header { background-color: #2c3e50; color: white; padding: 15px; border-radius: 5px; margin-bottom: 20px; }</t>
  </si>
  <si>
    <t>.room-card.ready { border-left-color: #FFF2CC; background-color: #FFF9D9; }</t>
  </si>
  <si>
    <t>&lt;/style&gt;&lt;/head&gt;&lt;body&gt;`;</t>
  </si>
  <si>
    <t>html += `&lt;div class="header"&gt;&lt;h1 style="margin:0;"&gt;Unified Room Dashboard&lt;/h1&gt;&lt;p style="margin:5px 0 0 0;"&gt;Total Rooms: ${dashboard.totalRooms}&lt;/p&gt;&lt;/div&gt;`;</t>
  </si>
  <si>
    <t>if (room.details.guest) {</t>
  </si>
  <si>
    <t>html += `&lt;div class="room-guest"&gt;${room.details.guest}&lt;/div&gt;`;</t>
  </si>
  <si>
    <t>if (room.details.checkInTime) {</t>
  </si>
  <si>
    <t>html += `&lt;div class="room-guest" style="font-size:10px;"&gt;In: ${room.details.checkInTime}&lt;/div&gt;`;</t>
  </si>
  <si>
    <t>html += `&lt;span class="legend-item"&gt;&lt;span class="legend-color" style="background-color:#FFF2CC;"&gt;&lt;/span&gt;Ready for Cleaning&lt;/span&gt;`;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</si>
</sst>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$#,##0.00"/>
    <numFmt numFmtId="167" formatCode="m/d/yyyy h:mm:ss"/>
  </numFmts>
  <fonts count="18">
    <font>
      <sz val="11.0"/>
      <color theme="1"/>
      <name val="Calibri"/>
      <scheme val="minor"/>
    </font>
    <font>
      <b/>
      <color rgb="FFFFFFFF"/>
      <name val="Calibri"/>
    </font>
    <font>
      <b/>
      <u/>
      <color rgb="FFFFFFFF"/>
    </font>
    <font>
      <sz val="11.0"/>
      <color rgb="FF999999"/>
      <name val="Calibri"/>
    </font>
    <font>
      <color rgb="FF999999"/>
      <name val="Calibri"/>
    </font>
    <font>
      <u/>
      <sz val="11.0"/>
      <color rgb="FF999999"/>
      <name val="Calibri"/>
    </font>
    <font>
      <u/>
      <sz val="11.0"/>
      <color rgb="FF999999"/>
      <name val="Calibri"/>
    </font>
    <font>
      <sz val="11.0"/>
      <color theme="1"/>
      <name val="Calibri"/>
    </font>
    <font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color rgb="FF1F4E79"/>
      <name val="Calibri"/>
    </font>
    <font/>
    <font>
      <b/>
      <sz val="16.0"/>
      <color rgb="FF1F4E79"/>
      <name val="Calibri"/>
    </font>
    <font>
      <b/>
      <color theme="1"/>
      <name val="Calibri"/>
    </font>
    <font>
      <b/>
      <sz val="14.0"/>
      <color rgb="FF1F4E79"/>
      <name val="Calibri"/>
    </font>
    <font>
      <sz val="10.0"/>
      <color theme="1"/>
      <name val="Courier New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8E8E8"/>
        <bgColor rgb="FFE8E8E8"/>
      </patternFill>
    </fill>
    <fill>
      <patternFill patternType="solid">
        <fgColor rgb="FFEFEFEF"/>
        <bgColor rgb="FFEFEFEF"/>
      </patternFill>
    </fill>
    <fill>
      <patternFill patternType="solid">
        <fgColor rgb="FFE1D5E7"/>
        <bgColor rgb="FFE1D5E7"/>
      </patternFill>
    </fill>
    <fill>
      <patternFill patternType="solid">
        <fgColor rgb="FFC6EFCE"/>
        <bgColor rgb="FFC6EFCE"/>
      </patternFill>
    </fill>
    <fill>
      <patternFill patternType="solid">
        <fgColor rgb="FFD5E8D4"/>
        <bgColor rgb="FFD5E8D4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7EEF7"/>
        <bgColor rgb="FFE7EEF7"/>
      </patternFill>
    </fill>
  </fills>
  <borders count="6">
    <border/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3" numFmtId="165" xfId="0" applyAlignment="1" applyFill="1" applyFont="1" applyNumberFormat="1">
      <alignment readingOrder="0"/>
    </xf>
    <xf borderId="0" fillId="3" fontId="3" numFmtId="0" xfId="0" applyFont="1"/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3" fontId="3" numFmtId="1" xfId="0" applyAlignment="1" applyFont="1" applyNumberFormat="1">
      <alignment readingOrder="0"/>
    </xf>
    <xf borderId="0" fillId="3" fontId="3" numFmtId="166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3" numFmtId="18" xfId="0" applyAlignment="1" applyFont="1" applyNumberFormat="1">
      <alignment readingOrder="0"/>
    </xf>
    <xf borderId="0" fillId="3" fontId="3" numFmtId="0" xfId="0" applyAlignment="1" applyFont="1">
      <alignment horizontal="left" readingOrder="0" vertical="center"/>
    </xf>
    <xf borderId="0" fillId="3" fontId="3" numFmtId="0" xfId="0" applyAlignment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3" fontId="3" numFmtId="1" xfId="0" applyFont="1" applyNumberFormat="1"/>
    <xf borderId="0" fillId="3" fontId="3" numFmtId="10" xfId="0" applyFont="1" applyNumberFormat="1"/>
    <xf borderId="0" fillId="3" fontId="5" numFmtId="0" xfId="0" applyAlignment="1" applyFont="1">
      <alignment readingOrder="0"/>
    </xf>
    <xf borderId="0" fillId="3" fontId="3" numFmtId="167" xfId="0" applyAlignment="1" applyFont="1" applyNumberFormat="1">
      <alignment readingOrder="0"/>
    </xf>
    <xf borderId="0" fillId="4" fontId="3" numFmtId="165" xfId="0" applyAlignment="1" applyFill="1" applyFont="1" applyNumberFormat="1">
      <alignment readingOrder="0"/>
    </xf>
    <xf borderId="0" fillId="4" fontId="3" numFmtId="0" xfId="0" applyFont="1"/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164" xfId="0" applyAlignment="1" applyFont="1" applyNumberFormat="1">
      <alignment readingOrder="0"/>
    </xf>
    <xf borderId="0" fillId="4" fontId="3" numFmtId="1" xfId="0" applyAlignment="1" applyFont="1" applyNumberFormat="1">
      <alignment readingOrder="0"/>
    </xf>
    <xf borderId="0" fillId="4" fontId="3" numFmtId="166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3" numFmtId="18" xfId="0" applyAlignment="1" applyFont="1" applyNumberFormat="1">
      <alignment readingOrder="0"/>
    </xf>
    <xf borderId="0" fillId="4" fontId="3" numFmtId="0" xfId="0" applyAlignment="1" applyFont="1">
      <alignment horizontal="left" readingOrder="0" vertical="center"/>
    </xf>
    <xf borderId="0" fillId="4" fontId="3" numFmtId="0" xfId="0" applyAlignment="1" applyFont="1">
      <alignment shrinkToFit="0" vertical="top" wrapText="1"/>
    </xf>
    <xf borderId="0" fillId="4" fontId="3" numFmtId="1" xfId="0" applyFont="1" applyNumberFormat="1"/>
    <xf borderId="0" fillId="4" fontId="3" numFmtId="10" xfId="0" applyFont="1" applyNumberFormat="1"/>
    <xf borderId="0" fillId="4" fontId="6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5" fontId="8" numFmtId="0" xfId="0" applyAlignment="1" applyFill="1" applyFont="1">
      <alignment readingOrder="0"/>
    </xf>
    <xf borderId="0" fillId="0" fontId="8" numFmtId="0" xfId="0" applyFont="1"/>
    <xf borderId="0" fillId="6" fontId="8" numFmtId="0" xfId="0" applyAlignment="1" applyFill="1" applyFont="1">
      <alignment readingOrder="0"/>
    </xf>
    <xf borderId="0" fillId="0" fontId="7" numFmtId="18" xfId="0" applyAlignment="1" applyFont="1" applyNumberFormat="1">
      <alignment readingOrder="0"/>
    </xf>
    <xf borderId="0" fillId="0" fontId="7" numFmtId="18" xfId="0" applyFont="1" applyNumberFormat="1"/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1" xfId="0" applyFont="1" applyNumberFormat="1"/>
    <xf borderId="0" fillId="0" fontId="7" numFmtId="10" xfId="0" applyFont="1" applyNumberFormat="1"/>
    <xf borderId="0" fillId="0" fontId="9" numFmtId="0" xfId="0" applyAlignment="1" applyFont="1">
      <alignment readingOrder="0"/>
    </xf>
    <xf borderId="0" fillId="4" fontId="3" numFmtId="0" xfId="0" applyAlignment="1" applyFont="1">
      <alignment readingOrder="0" shrinkToFit="0" vertical="top" wrapText="1"/>
    </xf>
    <xf borderId="0" fillId="7" fontId="8" numFmtId="0" xfId="0" applyAlignment="1" applyFill="1" applyFont="1">
      <alignment readingOrder="0"/>
    </xf>
    <xf borderId="0" fillId="8" fontId="8" numFmtId="0" xfId="0" applyAlignment="1" applyFill="1" applyFont="1">
      <alignment readingOrder="0"/>
    </xf>
    <xf borderId="0" fillId="9" fontId="7" numFmtId="0" xfId="0" applyAlignment="1" applyFill="1" applyFont="1">
      <alignment horizontal="left" readingOrder="0" vertical="center"/>
    </xf>
    <xf borderId="0" fillId="0" fontId="7" numFmtId="165" xfId="0" applyFont="1" applyNumberFormat="1"/>
    <xf borderId="0" fillId="0" fontId="7" numFmtId="0" xfId="0" applyAlignment="1" applyFont="1">
      <alignment horizontal="center"/>
    </xf>
    <xf borderId="0" fillId="0" fontId="7" numFmtId="164" xfId="0" applyFont="1" applyNumberFormat="1"/>
    <xf borderId="0" fillId="0" fontId="7" numFmtId="166" xfId="0" applyFont="1" applyNumberFormat="1"/>
    <xf borderId="0" fillId="0" fontId="10" numFmtId="0" xfId="0" applyAlignment="1" applyFont="1">
      <alignment horizontal="center"/>
    </xf>
    <xf borderId="2" fillId="10" fontId="11" numFmtId="0" xfId="0" applyAlignment="1" applyBorder="1" applyFill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2" fillId="0" fontId="10" numFmtId="0" xfId="0" applyBorder="1" applyFont="1"/>
    <xf borderId="0" fillId="0" fontId="11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3" fillId="11" fontId="12" numFmtId="0" xfId="0" applyAlignment="1" applyBorder="1" applyFill="1" applyFont="1">
      <alignment horizontal="left" vertical="center"/>
    </xf>
    <xf borderId="4" fillId="0" fontId="13" numFmtId="0" xfId="0" applyBorder="1" applyFont="1"/>
    <xf borderId="1" fillId="2" fontId="1" numFmtId="0" xfId="0" applyAlignment="1" applyBorder="1" applyFont="1">
      <alignment horizontal="center" vertical="center"/>
    </xf>
    <xf borderId="0" fillId="0" fontId="14" numFmtId="0" xfId="0" applyFont="1"/>
    <xf borderId="5" fillId="2" fontId="1" numFmtId="0" xfId="0" applyAlignment="1" applyBorder="1" applyFont="1">
      <alignment horizontal="center" vertical="center"/>
    </xf>
    <xf borderId="0" fillId="0" fontId="15" numFmtId="0" xfId="0" applyFont="1"/>
    <xf borderId="0" fillId="0" fontId="8" numFmtId="0" xfId="0" applyAlignment="1" applyFont="1">
      <alignment horizontal="left" vertical="center"/>
    </xf>
    <xf borderId="0" fillId="0" fontId="7" numFmtId="1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7" numFmtId="164" xfId="0" applyAlignment="1" applyFont="1" applyNumberFormat="1">
      <alignment horizontal="left" readingOrder="0" vertical="center"/>
    </xf>
    <xf borderId="0" fillId="0" fontId="12" numFmtId="0" xfId="0" applyFont="1"/>
    <xf borderId="1" fillId="2" fontId="1" numFmtId="0" xfId="0" applyAlignment="1" applyBorder="1" applyFont="1">
      <alignment horizontal="center" readingOrder="0" vertical="center"/>
    </xf>
    <xf borderId="0" fillId="0" fontId="16" numFmtId="0" xfId="0" applyFont="1"/>
    <xf borderId="0" fillId="0" fontId="17" numFmtId="0" xfId="0" applyFont="1"/>
    <xf borderId="0" fillId="0" fontId="10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856404"/>
      </font>
      <fill>
        <patternFill patternType="solid">
          <fgColor rgb="FFFFF3CD"/>
          <bgColor rgb="FFFFF3CD"/>
        </patternFill>
      </fill>
      <border/>
    </dxf>
    <dxf>
      <font>
        <color rgb="FF0F5132"/>
      </font>
      <fill>
        <patternFill patternType="solid">
          <fgColor rgb="FFD1E7DD"/>
          <bgColor rgb="FFD1E7DD"/>
        </patternFill>
      </fill>
      <border/>
    </dxf>
    <dxf>
      <font>
        <color rgb="FF495057"/>
      </font>
      <fill>
        <patternFill patternType="solid">
          <fgColor rgb="FFE9ECEF"/>
          <bgColor rgb="FFE9EC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tBnpqcr0-rVfGGNG26rv-5Hd0480c3yu/view?usp=drivesdk" TargetMode="External"/><Relationship Id="rId22" Type="http://schemas.openxmlformats.org/officeDocument/2006/relationships/hyperlink" Target="https://drive.google.com/file/d/1xMQVkZDtkbyye2wmxHFWmqqadYHY7Xex/view?usp=drivesdk" TargetMode="External"/><Relationship Id="rId21" Type="http://schemas.openxmlformats.org/officeDocument/2006/relationships/hyperlink" Target="https://drive.google.com/file/d/1s6-9TAf0MwDrhve3x05Z_99d5uCqqSzA/view?usp=drivesdk" TargetMode="External"/><Relationship Id="rId24" Type="http://schemas.openxmlformats.org/officeDocument/2006/relationships/hyperlink" Target="https://drive.google.com/file/d/1lI3LxOlhFvkbSDKUl0mlwd0PJfWgsJGa/view?usp=drivesdk" TargetMode="External"/><Relationship Id="rId23" Type="http://schemas.openxmlformats.org/officeDocument/2006/relationships/hyperlink" Target="https://drive.google.com/file/d/1EATp05LQguXRLji8YA7YNkxCc1aiMxg4/view?usp=drivesd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nL-uOVINK8BM9DsRVtlp0LSwIcifFf1p/view?usp=drivesdk" TargetMode="External"/><Relationship Id="rId3" Type="http://schemas.openxmlformats.org/officeDocument/2006/relationships/hyperlink" Target="https://drive.google.com/file/d/1Vk1h89RRN6ImQda7PoVW7bCj7lCtUWDD/view?usp=drivesdk" TargetMode="External"/><Relationship Id="rId4" Type="http://schemas.openxmlformats.org/officeDocument/2006/relationships/hyperlink" Target="https://drive.google.com/file/d/1aH0-odsNYlcR2DlXc39hJLej0ZPX5D_1/view?usp=drivesdk" TargetMode="External"/><Relationship Id="rId9" Type="http://schemas.openxmlformats.org/officeDocument/2006/relationships/hyperlink" Target="https://drive.google.com/file/d/1hj3Tn0Msd3Q7r7lFk5dgBtW2AUeNt8x1/view?usp=drivesdk" TargetMode="External"/><Relationship Id="rId26" Type="http://schemas.openxmlformats.org/officeDocument/2006/relationships/vmlDrawing" Target="../drawings/vmlDrawing1.vm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file/d/1bzw232GVmZPUsd56g4JaQ9E9pg4gHpeI/view?usp=drivesdk" TargetMode="External"/><Relationship Id="rId6" Type="http://schemas.openxmlformats.org/officeDocument/2006/relationships/hyperlink" Target="https://drive.google.com/file/d/17EW9PfFmiGQl8xqrd4dCneIOuTTUnAi9/view?usp=drivesdk" TargetMode="External"/><Relationship Id="rId7" Type="http://schemas.openxmlformats.org/officeDocument/2006/relationships/hyperlink" Target="https://drive.google.com/file/d/1VT1RaI4DpH5LHLto-rXfrglmWqbbXy0A/view?usp=drivesdk" TargetMode="External"/><Relationship Id="rId8" Type="http://schemas.openxmlformats.org/officeDocument/2006/relationships/hyperlink" Target="https://drive.google.com/file/d/1kVj4zPDI6PTmRr1VvONbGBfcv7kPCJWw/view?usp=drivesdk" TargetMode="External"/><Relationship Id="rId11" Type="http://schemas.openxmlformats.org/officeDocument/2006/relationships/hyperlink" Target="https://drive.google.com/file/d/1gPhl3rRJLJhKaFKGPPNVgMGDta9R7fC1/view?usp=drivesdk" TargetMode="External"/><Relationship Id="rId10" Type="http://schemas.openxmlformats.org/officeDocument/2006/relationships/hyperlink" Target="https://drive.google.com/file/d/1-RknhEZZTX7rHang7qZy1GVYa2J1NgvS/view?usp=drivesdk" TargetMode="External"/><Relationship Id="rId13" Type="http://schemas.openxmlformats.org/officeDocument/2006/relationships/hyperlink" Target="https://drive.google.com/file/d/1G3k29OUQ_E73dDGoaF5-X5oCZR3_5wGu/view?usp=drivesdk" TargetMode="External"/><Relationship Id="rId12" Type="http://schemas.openxmlformats.org/officeDocument/2006/relationships/hyperlink" Target="https://drive.google.com/file/d/1BWpSy6gJjT3Or9DZqq5t6XxKUURF7XvP/view?usp=drivesdk" TargetMode="External"/><Relationship Id="rId15" Type="http://schemas.openxmlformats.org/officeDocument/2006/relationships/hyperlink" Target="https://drive.google.com/file/d/1uZQ6Bs_z-lz_lZJhKWINYAP1ll4uUWB2/view?usp=drivesdk" TargetMode="External"/><Relationship Id="rId14" Type="http://schemas.openxmlformats.org/officeDocument/2006/relationships/hyperlink" Target="https://drive.google.com/file/d/1L0TtXoLVA0EhdCOynkl9PFYMkSsj6Ou6/view?usp=drivesdk" TargetMode="External"/><Relationship Id="rId17" Type="http://schemas.openxmlformats.org/officeDocument/2006/relationships/hyperlink" Target="https://drive.google.com/file/d/18oj6buTNiLX8BG1WQdBzv9qLvPTX7ROS/view?usp=drivesdk" TargetMode="External"/><Relationship Id="rId16" Type="http://schemas.openxmlformats.org/officeDocument/2006/relationships/hyperlink" Target="https://drive.google.com/file/d/1DAWiTbmzkrewxt1sfV907XlWz0KVWf8I/view?usp=drivesdk" TargetMode="External"/><Relationship Id="rId19" Type="http://schemas.openxmlformats.org/officeDocument/2006/relationships/hyperlink" Target="https://drive.google.com/file/d/1YkaKh5JXj6Yv3qaFFyy9YewJu7zF3uTu/view?usp=drivesdk" TargetMode="External"/><Relationship Id="rId18" Type="http://schemas.openxmlformats.org/officeDocument/2006/relationships/hyperlink" Target="https://drive.google.com/file/d/15EDfzN-BQ9MdwAGU-cpbv2o7Ez5Jv2Yn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9.0"/>
    <col customWidth="1" min="4" max="4" width="24.0"/>
    <col customWidth="1" min="5" max="5" width="10.0"/>
    <col customWidth="1" min="6" max="7" width="12.0"/>
    <col customWidth="1" min="8" max="8" width="14.0"/>
    <col customWidth="1" min="9" max="9" width="12.0"/>
    <col customWidth="1" hidden="1" min="10" max="10" width="10.0"/>
    <col customWidth="1" min="11" max="11" width="10.0"/>
    <col customWidth="1" min="12" max="12" width="12.29"/>
    <col customWidth="1" min="13" max="13" width="10.0"/>
    <col customWidth="1" min="14" max="14" width="13.86"/>
    <col customWidth="1" min="15" max="15" width="22.0"/>
    <col customWidth="1" min="16" max="16" width="9.0"/>
    <col customWidth="1" min="17" max="17" width="14.0"/>
    <col customWidth="1" min="18" max="18" width="32.57"/>
    <col customWidth="1" min="19" max="19" width="22.0"/>
    <col customWidth="1" hidden="1" min="20" max="20" width="14.0"/>
    <col customWidth="1" min="21" max="21" width="8.0"/>
    <col customWidth="1" min="22" max="22" width="9.0"/>
    <col customWidth="1" min="23" max="23" width="22.0"/>
    <col customWidth="1" min="24" max="24" width="18.0"/>
    <col customWidth="1" min="25" max="25" width="22.0"/>
    <col customWidth="1" min="26" max="26" width="10.0"/>
    <col customWidth="1" min="27" max="27" width="12.0"/>
    <col customWidth="1" min="28" max="28" width="20.0"/>
    <col customWidth="1" min="29" max="29" width="14.0"/>
    <col customWidth="1" min="30" max="30" width="30.0"/>
    <col customWidth="1" min="31" max="32" width="14.0"/>
    <col customWidth="1" min="33" max="33" width="28.0"/>
    <col customWidth="1" min="34" max="34" width="16.0"/>
    <col customWidth="1" min="35" max="35" width="18.0"/>
    <col customWidth="1" min="36" max="37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/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4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</row>
    <row r="2">
      <c r="A2" s="5">
        <v>46021.0</v>
      </c>
      <c r="B2" s="6"/>
      <c r="C2" s="7">
        <v>111.0</v>
      </c>
      <c r="D2" s="8" t="s">
        <v>36</v>
      </c>
      <c r="E2" s="9">
        <v>87.61</v>
      </c>
      <c r="F2" s="10">
        <v>3.0</v>
      </c>
      <c r="G2" s="11">
        <v>262.83</v>
      </c>
      <c r="H2" s="11">
        <v>297.0</v>
      </c>
      <c r="I2" s="12" t="s">
        <v>37</v>
      </c>
      <c r="J2" s="13"/>
      <c r="K2" s="12" t="s">
        <v>38</v>
      </c>
      <c r="L2" s="5">
        <v>46021.0</v>
      </c>
      <c r="M2" s="12" t="s">
        <v>38</v>
      </c>
      <c r="N2" s="14">
        <v>46024.24256944444</v>
      </c>
      <c r="O2" s="15" t="s">
        <v>39</v>
      </c>
      <c r="P2" s="12" t="s">
        <v>38</v>
      </c>
      <c r="Q2" s="14">
        <v>46024.764560185184</v>
      </c>
      <c r="R2" s="16" t="s">
        <v>40</v>
      </c>
      <c r="S2" s="17"/>
      <c r="T2" s="17"/>
      <c r="U2" s="18"/>
      <c r="V2" s="19"/>
      <c r="W2" s="6"/>
      <c r="X2" s="6"/>
      <c r="Y2" s="6"/>
      <c r="Z2" s="6"/>
      <c r="AA2" s="6"/>
      <c r="AB2" s="8" t="s">
        <v>41</v>
      </c>
      <c r="AC2" s="8" t="s">
        <v>42</v>
      </c>
      <c r="AD2" s="20" t="s">
        <v>43</v>
      </c>
      <c r="AE2" s="6"/>
      <c r="AF2" s="6"/>
      <c r="AG2" s="6"/>
      <c r="AH2" s="6"/>
      <c r="AI2" s="6"/>
      <c r="AJ2" s="6"/>
      <c r="AK2" s="6"/>
    </row>
    <row r="3">
      <c r="A3" s="5">
        <v>46022.0</v>
      </c>
      <c r="B3" s="6"/>
      <c r="C3" s="7">
        <v>110.0</v>
      </c>
      <c r="D3" s="8" t="s">
        <v>44</v>
      </c>
      <c r="E3" s="9">
        <v>87.61</v>
      </c>
      <c r="F3" s="10">
        <v>1.0</v>
      </c>
      <c r="G3" s="11">
        <v>87.61</v>
      </c>
      <c r="H3" s="11">
        <v>99.0</v>
      </c>
      <c r="I3" s="12" t="s">
        <v>37</v>
      </c>
      <c r="J3" s="13"/>
      <c r="K3" s="12" t="s">
        <v>38</v>
      </c>
      <c r="L3" s="21">
        <v>46021.31033564815</v>
      </c>
      <c r="M3" s="12" t="s">
        <v>38</v>
      </c>
      <c r="N3" s="14">
        <v>46022.31090277778</v>
      </c>
      <c r="O3" s="15" t="s">
        <v>39</v>
      </c>
      <c r="P3" s="12" t="s">
        <v>38</v>
      </c>
      <c r="Q3" s="14"/>
      <c r="R3" s="17"/>
      <c r="S3" s="17"/>
      <c r="T3" s="17"/>
      <c r="U3" s="18"/>
      <c r="V3" s="19"/>
      <c r="W3" s="6"/>
      <c r="X3" s="6"/>
      <c r="Y3" s="6"/>
      <c r="Z3" s="6"/>
      <c r="AA3" s="6"/>
      <c r="AB3" s="8" t="s">
        <v>45</v>
      </c>
      <c r="AC3" s="8" t="s">
        <v>42</v>
      </c>
      <c r="AD3" s="20" t="s">
        <v>46</v>
      </c>
      <c r="AE3" s="6"/>
      <c r="AF3" s="6"/>
      <c r="AG3" s="6"/>
      <c r="AH3" s="6"/>
      <c r="AI3" s="6"/>
      <c r="AJ3" s="6"/>
      <c r="AK3" s="6"/>
    </row>
    <row r="4">
      <c r="A4" s="22">
        <v>46022.0</v>
      </c>
      <c r="B4" s="23"/>
      <c r="C4" s="24">
        <v>117.0</v>
      </c>
      <c r="D4" s="25" t="s">
        <v>47</v>
      </c>
      <c r="E4" s="26">
        <v>70.8</v>
      </c>
      <c r="F4" s="27">
        <v>1.0</v>
      </c>
      <c r="G4" s="28">
        <v>70.8</v>
      </c>
      <c r="H4" s="28">
        <v>80.0</v>
      </c>
      <c r="I4" s="29" t="s">
        <v>48</v>
      </c>
      <c r="J4" s="30"/>
      <c r="K4" s="29" t="s">
        <v>38</v>
      </c>
      <c r="L4" s="31">
        <v>46022.44458333333</v>
      </c>
      <c r="M4" s="29" t="s">
        <v>38</v>
      </c>
      <c r="N4" s="31">
        <v>46022.63949074074</v>
      </c>
      <c r="O4" s="32" t="s">
        <v>39</v>
      </c>
      <c r="P4" s="29" t="s">
        <v>38</v>
      </c>
      <c r="Q4" s="31">
        <v>46025.33728009259</v>
      </c>
      <c r="R4" s="33"/>
      <c r="S4" s="33"/>
      <c r="T4" s="33"/>
      <c r="U4" s="34"/>
      <c r="V4" s="35"/>
      <c r="W4" s="23"/>
      <c r="X4" s="23"/>
      <c r="Y4" s="23"/>
      <c r="Z4" s="23"/>
      <c r="AA4" s="23"/>
      <c r="AB4" s="25" t="s">
        <v>49</v>
      </c>
      <c r="AC4" s="25" t="s">
        <v>42</v>
      </c>
      <c r="AD4" s="36" t="s">
        <v>50</v>
      </c>
      <c r="AE4" s="23"/>
      <c r="AF4" s="23"/>
      <c r="AG4" s="23"/>
      <c r="AH4" s="23"/>
      <c r="AI4" s="23"/>
      <c r="AJ4" s="23"/>
      <c r="AK4" s="23"/>
    </row>
    <row r="5">
      <c r="A5" s="22">
        <v>46022.0</v>
      </c>
      <c r="B5" s="23"/>
      <c r="C5" s="24">
        <v>119.0</v>
      </c>
      <c r="D5" s="25" t="s">
        <v>51</v>
      </c>
      <c r="E5" s="26">
        <v>70.8</v>
      </c>
      <c r="F5" s="27">
        <v>2.0</v>
      </c>
      <c r="G5" s="28">
        <v>141.6</v>
      </c>
      <c r="H5" s="28">
        <v>160.01</v>
      </c>
      <c r="I5" s="29" t="s">
        <v>48</v>
      </c>
      <c r="J5" s="30"/>
      <c r="K5" s="29" t="s">
        <v>38</v>
      </c>
      <c r="L5" s="31">
        <v>46022.48462962963</v>
      </c>
      <c r="M5" s="29" t="s">
        <v>38</v>
      </c>
      <c r="N5" s="31">
        <v>46024.38885416667</v>
      </c>
      <c r="O5" s="32" t="s">
        <v>39</v>
      </c>
      <c r="P5" s="29" t="s">
        <v>38</v>
      </c>
      <c r="Q5" s="31">
        <v>46024.76509259259</v>
      </c>
      <c r="R5" s="33"/>
      <c r="S5" s="33"/>
      <c r="T5" s="33"/>
      <c r="U5" s="34"/>
      <c r="V5" s="35"/>
      <c r="W5" s="23"/>
      <c r="X5" s="23"/>
      <c r="Y5" s="23"/>
      <c r="Z5" s="23"/>
      <c r="AA5" s="23"/>
      <c r="AB5" s="25" t="s">
        <v>52</v>
      </c>
      <c r="AC5" s="25" t="s">
        <v>42</v>
      </c>
      <c r="AD5" s="36" t="s">
        <v>53</v>
      </c>
      <c r="AE5" s="23"/>
      <c r="AF5" s="23"/>
      <c r="AG5" s="23"/>
      <c r="AH5" s="23"/>
      <c r="AI5" s="23"/>
      <c r="AJ5" s="23"/>
      <c r="AK5" s="23"/>
    </row>
    <row r="6">
      <c r="A6" s="37">
        <v>46022.0</v>
      </c>
      <c r="B6" s="38"/>
      <c r="C6" s="39">
        <v>124.0</v>
      </c>
      <c r="D6" s="40" t="s">
        <v>54</v>
      </c>
      <c r="E6" s="41">
        <v>75.22</v>
      </c>
      <c r="F6" s="42">
        <v>3.0</v>
      </c>
      <c r="G6" s="43">
        <v>225.66</v>
      </c>
      <c r="H6" s="43">
        <v>255.0</v>
      </c>
      <c r="I6" s="44" t="s">
        <v>48</v>
      </c>
      <c r="J6" s="45"/>
      <c r="K6" s="46" t="s">
        <v>38</v>
      </c>
      <c r="L6" s="47">
        <v>46022.50921296296</v>
      </c>
      <c r="M6" s="45"/>
      <c r="N6" s="48"/>
      <c r="O6" s="49"/>
      <c r="P6" s="45"/>
      <c r="Q6" s="48"/>
      <c r="R6" s="50" t="s">
        <v>55</v>
      </c>
      <c r="S6" s="51"/>
      <c r="T6" s="51"/>
      <c r="U6" s="52"/>
      <c r="V6" s="53"/>
      <c r="W6" s="38"/>
      <c r="X6" s="38"/>
      <c r="Y6" s="38"/>
      <c r="Z6" s="38"/>
      <c r="AA6" s="38"/>
      <c r="AB6" s="40" t="s">
        <v>56</v>
      </c>
      <c r="AC6" s="40" t="s">
        <v>42</v>
      </c>
      <c r="AD6" s="54" t="s">
        <v>57</v>
      </c>
      <c r="AE6" s="38"/>
      <c r="AF6" s="38"/>
      <c r="AG6" s="38"/>
      <c r="AH6" s="38"/>
      <c r="AI6" s="38"/>
      <c r="AJ6" s="38"/>
      <c r="AK6" s="38"/>
    </row>
    <row r="7">
      <c r="A7" s="5">
        <v>46022.0</v>
      </c>
      <c r="B7" s="6"/>
      <c r="C7" s="7">
        <v>107.0</v>
      </c>
      <c r="D7" s="8" t="s">
        <v>58</v>
      </c>
      <c r="E7" s="9">
        <v>75.22</v>
      </c>
      <c r="F7" s="10">
        <v>2.0</v>
      </c>
      <c r="G7" s="11">
        <v>150.44</v>
      </c>
      <c r="H7" s="11">
        <v>170.0</v>
      </c>
      <c r="I7" s="12" t="s">
        <v>48</v>
      </c>
      <c r="J7" s="13"/>
      <c r="K7" s="12" t="s">
        <v>38</v>
      </c>
      <c r="L7" s="14">
        <v>46022.54450231481</v>
      </c>
      <c r="M7" s="12" t="s">
        <v>38</v>
      </c>
      <c r="N7" s="14">
        <v>46024.269537037035</v>
      </c>
      <c r="O7" s="15" t="s">
        <v>39</v>
      </c>
      <c r="P7" s="12" t="s">
        <v>38</v>
      </c>
      <c r="Q7" s="14">
        <v>46024.765428240746</v>
      </c>
      <c r="R7" s="16" t="s">
        <v>40</v>
      </c>
      <c r="S7" s="17"/>
      <c r="T7" s="17"/>
      <c r="U7" s="18"/>
      <c r="V7" s="19"/>
      <c r="W7" s="6"/>
      <c r="X7" s="6"/>
      <c r="Y7" s="6"/>
      <c r="Z7" s="6"/>
      <c r="AA7" s="6"/>
      <c r="AB7" s="8" t="s">
        <v>59</v>
      </c>
      <c r="AC7" s="8" t="s">
        <v>42</v>
      </c>
      <c r="AD7" s="20" t="s">
        <v>60</v>
      </c>
      <c r="AE7" s="6"/>
      <c r="AF7" s="6"/>
      <c r="AG7" s="6"/>
      <c r="AH7" s="6"/>
      <c r="AI7" s="6"/>
      <c r="AJ7" s="6"/>
      <c r="AK7" s="6"/>
    </row>
    <row r="8">
      <c r="A8" s="5">
        <v>46022.0</v>
      </c>
      <c r="B8" s="6"/>
      <c r="C8" s="7">
        <v>110.0</v>
      </c>
      <c r="D8" s="8" t="s">
        <v>61</v>
      </c>
      <c r="E8" s="9">
        <v>75.22</v>
      </c>
      <c r="F8" s="10">
        <v>2.0</v>
      </c>
      <c r="G8" s="11">
        <v>150.44</v>
      </c>
      <c r="H8" s="11">
        <v>170.0</v>
      </c>
      <c r="I8" s="12" t="s">
        <v>48</v>
      </c>
      <c r="J8" s="13"/>
      <c r="K8" s="12" t="s">
        <v>38</v>
      </c>
      <c r="L8" s="14">
        <v>46022.6077662037</v>
      </c>
      <c r="M8" s="12" t="s">
        <v>38</v>
      </c>
      <c r="N8" s="14">
        <v>46024.26565972222</v>
      </c>
      <c r="O8" s="15" t="s">
        <v>39</v>
      </c>
      <c r="P8" s="12" t="s">
        <v>38</v>
      </c>
      <c r="Q8" s="14">
        <v>46024.764652777776</v>
      </c>
      <c r="R8" s="17"/>
      <c r="S8" s="17"/>
      <c r="T8" s="17"/>
      <c r="U8" s="18"/>
      <c r="V8" s="19"/>
      <c r="W8" s="6"/>
      <c r="X8" s="6"/>
      <c r="Y8" s="6"/>
      <c r="Z8" s="6"/>
      <c r="AA8" s="6"/>
      <c r="AB8" s="8" t="s">
        <v>62</v>
      </c>
      <c r="AC8" s="8" t="s">
        <v>42</v>
      </c>
      <c r="AD8" s="20" t="s">
        <v>63</v>
      </c>
      <c r="AE8" s="6"/>
      <c r="AF8" s="6"/>
      <c r="AG8" s="6"/>
      <c r="AH8" s="6"/>
      <c r="AI8" s="6"/>
      <c r="AJ8" s="6"/>
      <c r="AK8" s="6"/>
    </row>
    <row r="9">
      <c r="A9" s="37">
        <v>46017.0</v>
      </c>
      <c r="B9" s="38"/>
      <c r="C9" s="39">
        <v>120.0</v>
      </c>
      <c r="D9" s="40" t="s">
        <v>64</v>
      </c>
      <c r="E9" s="41">
        <v>56.26</v>
      </c>
      <c r="F9" s="42">
        <v>7.0</v>
      </c>
      <c r="G9" s="43">
        <v>393.82</v>
      </c>
      <c r="H9" s="43">
        <v>445.02</v>
      </c>
      <c r="I9" s="44" t="s">
        <v>48</v>
      </c>
      <c r="J9" s="45"/>
      <c r="K9" s="46" t="s">
        <v>38</v>
      </c>
      <c r="L9" s="47">
        <v>46022.6124074074</v>
      </c>
      <c r="M9" s="45"/>
      <c r="N9" s="48"/>
      <c r="O9" s="49" t="str">
        <f>IF(LOWER(M9)="yes",IF(LOWER(P9)="yes","Cleaned","Ready for cleaning"),"")</f>
        <v/>
      </c>
      <c r="P9" s="45"/>
      <c r="Q9" s="48"/>
      <c r="R9" s="51"/>
      <c r="S9" s="51"/>
      <c r="T9" s="51"/>
      <c r="U9" s="52"/>
      <c r="V9" s="53"/>
      <c r="W9" s="38"/>
      <c r="X9" s="38"/>
      <c r="Y9" s="38"/>
      <c r="Z9" s="38"/>
      <c r="AA9" s="38"/>
      <c r="AB9" s="40" t="s">
        <v>65</v>
      </c>
      <c r="AC9" s="40" t="s">
        <v>42</v>
      </c>
      <c r="AD9" s="54" t="s">
        <v>66</v>
      </c>
      <c r="AE9" s="38"/>
      <c r="AF9" s="38"/>
      <c r="AG9" s="38"/>
      <c r="AH9" s="38"/>
      <c r="AI9" s="38"/>
      <c r="AJ9" s="38"/>
      <c r="AK9" s="38"/>
    </row>
    <row r="10">
      <c r="A10" s="5">
        <v>46022.0</v>
      </c>
      <c r="B10" s="6"/>
      <c r="C10" s="7">
        <v>109.0</v>
      </c>
      <c r="D10" s="8" t="s">
        <v>67</v>
      </c>
      <c r="E10" s="9">
        <v>68.14</v>
      </c>
      <c r="F10" s="10">
        <v>1.0</v>
      </c>
      <c r="G10" s="11">
        <v>68.14</v>
      </c>
      <c r="H10" s="11">
        <v>77.0</v>
      </c>
      <c r="I10" s="12" t="s">
        <v>37</v>
      </c>
      <c r="J10" s="13"/>
      <c r="K10" s="12" t="s">
        <v>38</v>
      </c>
      <c r="L10" s="14">
        <v>46022.73663194444</v>
      </c>
      <c r="M10" s="12" t="s">
        <v>38</v>
      </c>
      <c r="N10" s="14">
        <v>46022.96423611111</v>
      </c>
      <c r="O10" s="15" t="s">
        <v>39</v>
      </c>
      <c r="P10" s="12" t="s">
        <v>38</v>
      </c>
      <c r="Q10" s="14">
        <v>46023.59737268518</v>
      </c>
      <c r="R10" s="16" t="s">
        <v>68</v>
      </c>
      <c r="S10" s="17"/>
      <c r="T10" s="17"/>
      <c r="U10" s="18"/>
      <c r="V10" s="19"/>
      <c r="W10" s="6"/>
      <c r="X10" s="6"/>
      <c r="Y10" s="6"/>
      <c r="Z10" s="6"/>
      <c r="AA10" s="6"/>
      <c r="AB10" s="8" t="s">
        <v>69</v>
      </c>
      <c r="AC10" s="8" t="s">
        <v>42</v>
      </c>
      <c r="AD10" s="20" t="s">
        <v>70</v>
      </c>
      <c r="AE10" s="6"/>
      <c r="AF10" s="6"/>
      <c r="AG10" s="6"/>
      <c r="AH10" s="6"/>
      <c r="AI10" s="6"/>
      <c r="AJ10" s="6"/>
      <c r="AK10" s="6"/>
    </row>
    <row r="11">
      <c r="A11" s="22">
        <v>46022.0</v>
      </c>
      <c r="B11" s="23"/>
      <c r="C11" s="24">
        <v>116.0</v>
      </c>
      <c r="D11" s="25" t="s">
        <v>71</v>
      </c>
      <c r="E11" s="26">
        <v>79.65</v>
      </c>
      <c r="F11" s="27">
        <v>1.0</v>
      </c>
      <c r="G11" s="28">
        <v>79.65</v>
      </c>
      <c r="H11" s="28">
        <v>90.0</v>
      </c>
      <c r="I11" s="29" t="s">
        <v>48</v>
      </c>
      <c r="J11" s="30"/>
      <c r="K11" s="29" t="s">
        <v>38</v>
      </c>
      <c r="L11" s="31">
        <v>46022.9038425926</v>
      </c>
      <c r="M11" s="29" t="s">
        <v>38</v>
      </c>
      <c r="N11" s="31">
        <v>46023.413194444445</v>
      </c>
      <c r="O11" s="32" t="s">
        <v>39</v>
      </c>
      <c r="P11" s="29" t="s">
        <v>38</v>
      </c>
      <c r="Q11" s="31">
        <v>46023.5967824074</v>
      </c>
      <c r="R11" s="33"/>
      <c r="S11" s="33"/>
      <c r="T11" s="33"/>
      <c r="U11" s="34"/>
      <c r="V11" s="35"/>
      <c r="W11" s="23"/>
      <c r="X11" s="23"/>
      <c r="Y11" s="23"/>
      <c r="Z11" s="23"/>
      <c r="AA11" s="23"/>
      <c r="AB11" s="25" t="s">
        <v>72</v>
      </c>
      <c r="AC11" s="25" t="s">
        <v>42</v>
      </c>
      <c r="AD11" s="36" t="s">
        <v>73</v>
      </c>
      <c r="AE11" s="23"/>
      <c r="AF11" s="23"/>
      <c r="AG11" s="23"/>
      <c r="AH11" s="23"/>
      <c r="AI11" s="23"/>
      <c r="AJ11" s="23"/>
      <c r="AK11" s="23"/>
    </row>
    <row r="12">
      <c r="A12" s="5">
        <v>46022.0</v>
      </c>
      <c r="B12" s="6"/>
      <c r="C12" s="7">
        <v>118.0</v>
      </c>
      <c r="D12" s="8" t="s">
        <v>74</v>
      </c>
      <c r="E12" s="9">
        <v>68.14</v>
      </c>
      <c r="F12" s="10">
        <v>1.0</v>
      </c>
      <c r="G12" s="11">
        <v>68.14</v>
      </c>
      <c r="H12" s="11">
        <v>77.0</v>
      </c>
      <c r="I12" s="12" t="s">
        <v>37</v>
      </c>
      <c r="J12" s="13"/>
      <c r="K12" s="12" t="s">
        <v>38</v>
      </c>
      <c r="L12" s="14">
        <v>46022.95240740741</v>
      </c>
      <c r="M12" s="12" t="s">
        <v>38</v>
      </c>
      <c r="N12" s="14">
        <v>46022.98584490741</v>
      </c>
      <c r="O12" s="15" t="s">
        <v>39</v>
      </c>
      <c r="P12" s="12" t="s">
        <v>38</v>
      </c>
      <c r="Q12" s="14">
        <v>46023.59787037037</v>
      </c>
      <c r="R12" s="16" t="s">
        <v>68</v>
      </c>
      <c r="S12" s="17"/>
      <c r="T12" s="17"/>
      <c r="U12" s="18"/>
      <c r="V12" s="19"/>
      <c r="W12" s="6"/>
      <c r="X12" s="6"/>
      <c r="Y12" s="6"/>
      <c r="Z12" s="6"/>
      <c r="AA12" s="6"/>
      <c r="AB12" s="8" t="s">
        <v>75</v>
      </c>
      <c r="AC12" s="8" t="s">
        <v>42</v>
      </c>
      <c r="AD12" s="20" t="s">
        <v>76</v>
      </c>
      <c r="AE12" s="6"/>
      <c r="AF12" s="6"/>
      <c r="AG12" s="6"/>
      <c r="AH12" s="6"/>
      <c r="AI12" s="6"/>
      <c r="AJ12" s="6"/>
      <c r="AK12" s="6"/>
    </row>
    <row r="13">
      <c r="A13" s="22">
        <v>46022.0</v>
      </c>
      <c r="B13" s="23"/>
      <c r="C13" s="24">
        <v>104.0</v>
      </c>
      <c r="D13" s="25" t="s">
        <v>77</v>
      </c>
      <c r="E13" s="26">
        <v>87.61</v>
      </c>
      <c r="F13" s="27">
        <v>1.0</v>
      </c>
      <c r="G13" s="28">
        <v>87.61</v>
      </c>
      <c r="H13" s="28">
        <v>99.0</v>
      </c>
      <c r="I13" s="29" t="s">
        <v>37</v>
      </c>
      <c r="J13" s="30"/>
      <c r="K13" s="29" t="s">
        <v>38</v>
      </c>
      <c r="L13" s="31">
        <v>46022.980844907404</v>
      </c>
      <c r="M13" s="29" t="s">
        <v>38</v>
      </c>
      <c r="N13" s="31">
        <v>46023.04586805556</v>
      </c>
      <c r="O13" s="32" t="s">
        <v>39</v>
      </c>
      <c r="P13" s="29" t="s">
        <v>38</v>
      </c>
      <c r="Q13" s="31">
        <v>46023.59715277777</v>
      </c>
      <c r="R13" s="55" t="s">
        <v>68</v>
      </c>
      <c r="S13" s="33"/>
      <c r="T13" s="33"/>
      <c r="U13" s="34"/>
      <c r="V13" s="35"/>
      <c r="W13" s="23"/>
      <c r="X13" s="23"/>
      <c r="Y13" s="23"/>
      <c r="Z13" s="23"/>
      <c r="AA13" s="23"/>
      <c r="AB13" s="25" t="s">
        <v>78</v>
      </c>
      <c r="AC13" s="25" t="s">
        <v>42</v>
      </c>
      <c r="AD13" s="36" t="s">
        <v>79</v>
      </c>
      <c r="AE13" s="23"/>
      <c r="AF13" s="23"/>
      <c r="AG13" s="23"/>
      <c r="AH13" s="23"/>
      <c r="AI13" s="23"/>
      <c r="AJ13" s="23"/>
      <c r="AK13" s="23"/>
    </row>
    <row r="14">
      <c r="A14" s="5">
        <v>46023.0</v>
      </c>
      <c r="B14" s="6"/>
      <c r="C14" s="7">
        <v>141.0</v>
      </c>
      <c r="D14" s="8" t="s">
        <v>80</v>
      </c>
      <c r="E14" s="9">
        <v>87.61</v>
      </c>
      <c r="F14" s="10">
        <v>1.0</v>
      </c>
      <c r="G14" s="11">
        <v>87.61</v>
      </c>
      <c r="H14" s="11">
        <v>99.0</v>
      </c>
      <c r="I14" s="12" t="s">
        <v>37</v>
      </c>
      <c r="J14" s="13"/>
      <c r="K14" s="12" t="s">
        <v>38</v>
      </c>
      <c r="L14" s="14">
        <v>46023.00953703704</v>
      </c>
      <c r="M14" s="12" t="s">
        <v>38</v>
      </c>
      <c r="N14" s="14">
        <v>46023.45128472222</v>
      </c>
      <c r="O14" s="15" t="s">
        <v>39</v>
      </c>
      <c r="P14" s="12" t="s">
        <v>38</v>
      </c>
      <c r="Q14" s="14">
        <v>46023.59841435185</v>
      </c>
      <c r="R14" s="17"/>
      <c r="S14" s="17"/>
      <c r="T14" s="17"/>
      <c r="U14" s="18"/>
      <c r="V14" s="19"/>
      <c r="W14" s="6"/>
      <c r="X14" s="6"/>
      <c r="Y14" s="6"/>
      <c r="Z14" s="6"/>
      <c r="AA14" s="6"/>
      <c r="AB14" s="8" t="s">
        <v>81</v>
      </c>
      <c r="AC14" s="8" t="s">
        <v>42</v>
      </c>
      <c r="AD14" s="20" t="s">
        <v>82</v>
      </c>
      <c r="AE14" s="6"/>
      <c r="AF14" s="6"/>
      <c r="AG14" s="6"/>
      <c r="AH14" s="6"/>
      <c r="AI14" s="6"/>
      <c r="AJ14" s="6"/>
      <c r="AK14" s="6"/>
    </row>
    <row r="15">
      <c r="A15" s="37">
        <v>46023.0</v>
      </c>
      <c r="B15" s="38"/>
      <c r="C15" s="39">
        <v>135.0</v>
      </c>
      <c r="D15" s="40" t="s">
        <v>83</v>
      </c>
      <c r="E15" s="41">
        <v>59.0</v>
      </c>
      <c r="F15" s="42">
        <v>3.0</v>
      </c>
      <c r="G15" s="43">
        <v>177.0</v>
      </c>
      <c r="H15" s="43">
        <v>200.01</v>
      </c>
      <c r="I15" s="44" t="s">
        <v>48</v>
      </c>
      <c r="J15" s="45"/>
      <c r="K15" s="46" t="s">
        <v>38</v>
      </c>
      <c r="L15" s="47">
        <v>46023.506944444445</v>
      </c>
      <c r="M15" s="45"/>
      <c r="N15" s="48"/>
      <c r="O15" s="49" t="str">
        <f>IF(LOWER(M15)="yes",IF(LOWER(P15)="yes","Cleaned","Ready for cleaning"),"")</f>
        <v/>
      </c>
      <c r="P15" s="45"/>
      <c r="Q15" s="48"/>
      <c r="R15" s="51"/>
      <c r="S15" s="51"/>
      <c r="T15" s="51"/>
      <c r="U15" s="52"/>
      <c r="V15" s="53"/>
      <c r="W15" s="38"/>
      <c r="X15" s="38"/>
      <c r="Y15" s="38"/>
      <c r="Z15" s="38"/>
      <c r="AA15" s="38"/>
      <c r="AB15" s="40" t="s">
        <v>84</v>
      </c>
      <c r="AC15" s="40" t="s">
        <v>42</v>
      </c>
      <c r="AD15" s="54" t="s">
        <v>85</v>
      </c>
      <c r="AE15" s="38"/>
      <c r="AF15" s="38"/>
      <c r="AG15" s="38"/>
      <c r="AH15" s="38"/>
      <c r="AI15" s="38"/>
      <c r="AJ15" s="38"/>
      <c r="AK15" s="38"/>
    </row>
    <row r="16">
      <c r="A16" s="22">
        <v>46023.0</v>
      </c>
      <c r="B16" s="23"/>
      <c r="C16" s="24">
        <v>141.0</v>
      </c>
      <c r="D16" s="25" t="s">
        <v>86</v>
      </c>
      <c r="E16" s="26">
        <v>88.5</v>
      </c>
      <c r="F16" s="27">
        <v>1.0</v>
      </c>
      <c r="G16" s="28">
        <v>88.5</v>
      </c>
      <c r="H16" s="28">
        <v>100.0</v>
      </c>
      <c r="I16" s="29" t="s">
        <v>48</v>
      </c>
      <c r="J16" s="30"/>
      <c r="K16" s="29" t="s">
        <v>38</v>
      </c>
      <c r="L16" s="31">
        <v>46023.66328703704</v>
      </c>
      <c r="M16" s="29" t="s">
        <v>38</v>
      </c>
      <c r="N16" s="31">
        <v>46023.93511574074</v>
      </c>
      <c r="O16" s="32" t="s">
        <v>39</v>
      </c>
      <c r="P16" s="29" t="s">
        <v>38</v>
      </c>
      <c r="Q16" s="31">
        <v>46024.766064814816</v>
      </c>
      <c r="R16" s="33"/>
      <c r="S16" s="33"/>
      <c r="T16" s="33"/>
      <c r="U16" s="34"/>
      <c r="V16" s="35"/>
      <c r="W16" s="23"/>
      <c r="X16" s="23"/>
      <c r="Y16" s="23"/>
      <c r="Z16" s="23"/>
      <c r="AA16" s="23"/>
      <c r="AB16" s="25" t="s">
        <v>87</v>
      </c>
      <c r="AC16" s="25" t="s">
        <v>42</v>
      </c>
      <c r="AD16" s="36" t="s">
        <v>88</v>
      </c>
      <c r="AE16" s="23"/>
      <c r="AF16" s="23"/>
      <c r="AG16" s="23"/>
      <c r="AH16" s="23"/>
      <c r="AI16" s="23"/>
      <c r="AJ16" s="23"/>
      <c r="AK16" s="23"/>
    </row>
    <row r="17">
      <c r="A17" s="37">
        <v>46021.0</v>
      </c>
      <c r="B17" s="38"/>
      <c r="C17" s="39">
        <v>145.0</v>
      </c>
      <c r="D17" s="40" t="s">
        <v>89</v>
      </c>
      <c r="E17" s="41">
        <v>70.21</v>
      </c>
      <c r="F17" s="42">
        <v>3.0</v>
      </c>
      <c r="G17" s="43">
        <v>210.62</v>
      </c>
      <c r="H17" s="43">
        <v>238.0</v>
      </c>
      <c r="I17" s="56" t="s">
        <v>37</v>
      </c>
      <c r="J17" s="45"/>
      <c r="K17" s="45"/>
      <c r="L17" s="48"/>
      <c r="M17" s="45"/>
      <c r="N17" s="48"/>
      <c r="O17" s="49" t="str">
        <f>IF(LOWER(M17)="yes",IF(LOWER(P17)="yes","Cleaned","Ready for cleaning"),"")</f>
        <v/>
      </c>
      <c r="P17" s="45"/>
      <c r="Q17" s="48"/>
      <c r="R17" s="50" t="s">
        <v>90</v>
      </c>
      <c r="S17" s="51"/>
      <c r="T17" s="51"/>
      <c r="U17" s="52"/>
      <c r="V17" s="53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>
      <c r="A18" s="22">
        <v>46024.0</v>
      </c>
      <c r="B18" s="23"/>
      <c r="C18" s="24">
        <v>109.0</v>
      </c>
      <c r="D18" s="25" t="s">
        <v>91</v>
      </c>
      <c r="E18" s="26">
        <v>87.61</v>
      </c>
      <c r="F18" s="27">
        <v>1.0</v>
      </c>
      <c r="G18" s="28">
        <v>87.61</v>
      </c>
      <c r="H18" s="28">
        <v>99.0</v>
      </c>
      <c r="I18" s="29" t="s">
        <v>37</v>
      </c>
      <c r="J18" s="30"/>
      <c r="K18" s="29" t="s">
        <v>38</v>
      </c>
      <c r="L18" s="31">
        <v>46024.17210648148</v>
      </c>
      <c r="M18" s="29" t="s">
        <v>38</v>
      </c>
      <c r="N18" s="31">
        <v>46024.517488425925</v>
      </c>
      <c r="O18" s="32" t="s">
        <v>39</v>
      </c>
      <c r="P18" s="29" t="s">
        <v>38</v>
      </c>
      <c r="Q18" s="31">
        <v>46024.76532407408</v>
      </c>
      <c r="R18" s="55" t="s">
        <v>92</v>
      </c>
      <c r="S18" s="33"/>
      <c r="T18" s="33"/>
      <c r="U18" s="34"/>
      <c r="V18" s="35"/>
      <c r="W18" s="23"/>
      <c r="X18" s="23"/>
      <c r="Y18" s="23"/>
      <c r="Z18" s="23"/>
      <c r="AA18" s="23"/>
      <c r="AB18" s="25" t="s">
        <v>93</v>
      </c>
      <c r="AC18" s="25" t="s">
        <v>42</v>
      </c>
      <c r="AD18" s="36" t="s">
        <v>94</v>
      </c>
      <c r="AE18" s="23"/>
      <c r="AF18" s="23"/>
      <c r="AG18" s="23"/>
      <c r="AH18" s="23"/>
      <c r="AI18" s="23"/>
      <c r="AJ18" s="23"/>
      <c r="AK18" s="23"/>
    </row>
    <row r="19" ht="15.75" customHeight="1">
      <c r="A19" s="37">
        <v>46024.0</v>
      </c>
      <c r="B19" s="38"/>
      <c r="C19" s="39">
        <v>146.0</v>
      </c>
      <c r="D19" s="40" t="s">
        <v>95</v>
      </c>
      <c r="E19" s="41">
        <v>75.22</v>
      </c>
      <c r="F19" s="42">
        <v>1.0</v>
      </c>
      <c r="G19" s="43">
        <v>75.22</v>
      </c>
      <c r="H19" s="43">
        <v>85.0</v>
      </c>
      <c r="I19" s="44" t="s">
        <v>48</v>
      </c>
      <c r="J19" s="45"/>
      <c r="K19" s="46" t="s">
        <v>38</v>
      </c>
      <c r="L19" s="47">
        <v>46024.454918981486</v>
      </c>
      <c r="M19" s="57" t="s">
        <v>96</v>
      </c>
      <c r="N19" s="47"/>
      <c r="O19" s="58"/>
      <c r="P19" s="45"/>
      <c r="Q19" s="48"/>
      <c r="R19" s="51"/>
      <c r="S19" s="51"/>
      <c r="T19" s="51"/>
      <c r="U19" s="52"/>
      <c r="V19" s="53"/>
      <c r="W19" s="38"/>
      <c r="X19" s="38"/>
      <c r="Y19" s="38"/>
      <c r="Z19" s="38"/>
      <c r="AA19" s="38"/>
      <c r="AB19" s="40" t="s">
        <v>97</v>
      </c>
      <c r="AC19" s="40" t="s">
        <v>42</v>
      </c>
      <c r="AD19" s="54" t="s">
        <v>98</v>
      </c>
      <c r="AE19" s="38"/>
      <c r="AF19" s="38"/>
      <c r="AG19" s="38"/>
      <c r="AH19" s="38"/>
      <c r="AI19" s="38"/>
      <c r="AJ19" s="38"/>
      <c r="AK19" s="38"/>
    </row>
    <row r="20" ht="15.75" customHeight="1">
      <c r="A20" s="37">
        <v>46024.0</v>
      </c>
      <c r="B20" s="38"/>
      <c r="C20" s="39">
        <v>144.0</v>
      </c>
      <c r="D20" s="40" t="s">
        <v>99</v>
      </c>
      <c r="E20" s="41">
        <v>70.8</v>
      </c>
      <c r="F20" s="42">
        <v>1.0</v>
      </c>
      <c r="G20" s="43">
        <v>70.8</v>
      </c>
      <c r="H20" s="43">
        <v>80.0</v>
      </c>
      <c r="I20" s="44" t="s">
        <v>48</v>
      </c>
      <c r="J20" s="45"/>
      <c r="K20" s="46" t="s">
        <v>38</v>
      </c>
      <c r="L20" s="47">
        <v>46024.4924537037</v>
      </c>
      <c r="M20" s="57" t="s">
        <v>38</v>
      </c>
      <c r="N20" s="47">
        <v>46024.76578703704</v>
      </c>
      <c r="O20" s="58" t="s">
        <v>100</v>
      </c>
      <c r="P20" s="45"/>
      <c r="Q20" s="48"/>
      <c r="R20" s="50" t="s">
        <v>101</v>
      </c>
      <c r="S20" s="51"/>
      <c r="T20" s="51"/>
      <c r="U20" s="52"/>
      <c r="V20" s="53"/>
      <c r="W20" s="38"/>
      <c r="X20" s="38"/>
      <c r="Y20" s="38"/>
      <c r="Z20" s="38"/>
      <c r="AA20" s="38"/>
      <c r="AB20" s="40" t="s">
        <v>102</v>
      </c>
      <c r="AC20" s="40" t="s">
        <v>42</v>
      </c>
      <c r="AD20" s="54" t="s">
        <v>103</v>
      </c>
      <c r="AE20" s="38"/>
      <c r="AF20" s="38"/>
      <c r="AG20" s="38"/>
      <c r="AH20" s="38"/>
      <c r="AI20" s="38"/>
      <c r="AJ20" s="38"/>
      <c r="AK20" s="38"/>
    </row>
    <row r="21" ht="15.75" customHeight="1">
      <c r="A21" s="37">
        <v>46024.0</v>
      </c>
      <c r="B21" s="38"/>
      <c r="C21" s="39">
        <v>107.0</v>
      </c>
      <c r="D21" s="40" t="s">
        <v>104</v>
      </c>
      <c r="E21" s="41">
        <v>61.95</v>
      </c>
      <c r="F21" s="42">
        <v>1.0</v>
      </c>
      <c r="G21" s="43">
        <v>61.95</v>
      </c>
      <c r="H21" s="43">
        <v>70.0</v>
      </c>
      <c r="I21" s="44" t="s">
        <v>48</v>
      </c>
      <c r="J21" s="45"/>
      <c r="K21" s="46" t="s">
        <v>38</v>
      </c>
      <c r="L21" s="47">
        <v>46024.667175925926</v>
      </c>
      <c r="M21" s="57" t="s">
        <v>38</v>
      </c>
      <c r="N21" s="47">
        <v>46024.76375</v>
      </c>
      <c r="O21" s="58" t="s">
        <v>100</v>
      </c>
      <c r="P21" s="45"/>
      <c r="Q21" s="48"/>
      <c r="R21" s="50" t="s">
        <v>105</v>
      </c>
      <c r="S21" s="51"/>
      <c r="T21" s="51"/>
      <c r="U21" s="52"/>
      <c r="V21" s="53"/>
      <c r="W21" s="38"/>
      <c r="X21" s="38"/>
      <c r="Y21" s="38"/>
      <c r="Z21" s="38"/>
      <c r="AA21" s="38"/>
      <c r="AB21" s="40" t="s">
        <v>106</v>
      </c>
      <c r="AC21" s="40" t="s">
        <v>42</v>
      </c>
      <c r="AD21" s="54" t="s">
        <v>107</v>
      </c>
      <c r="AE21" s="38"/>
      <c r="AF21" s="38"/>
      <c r="AG21" s="38"/>
      <c r="AH21" s="38"/>
      <c r="AI21" s="38"/>
      <c r="AJ21" s="38"/>
      <c r="AK21" s="38"/>
    </row>
    <row r="22" ht="15.75" customHeight="1">
      <c r="A22" s="37">
        <v>46024.0</v>
      </c>
      <c r="B22" s="38"/>
      <c r="C22" s="39">
        <v>118.0</v>
      </c>
      <c r="D22" s="40" t="s">
        <v>108</v>
      </c>
      <c r="E22" s="41">
        <v>77.88</v>
      </c>
      <c r="F22" s="42">
        <v>1.0</v>
      </c>
      <c r="G22" s="43">
        <v>77.88</v>
      </c>
      <c r="H22" s="43">
        <v>88.0</v>
      </c>
      <c r="I22" s="56" t="s">
        <v>37</v>
      </c>
      <c r="J22" s="45"/>
      <c r="K22" s="46" t="s">
        <v>38</v>
      </c>
      <c r="L22" s="47">
        <v>46024.819386574076</v>
      </c>
      <c r="M22" s="57" t="s">
        <v>38</v>
      </c>
      <c r="N22" s="47">
        <v>46024.86634259259</v>
      </c>
      <c r="O22" s="58" t="s">
        <v>100</v>
      </c>
      <c r="P22" s="45"/>
      <c r="Q22" s="48"/>
      <c r="R22" s="50" t="s">
        <v>109</v>
      </c>
      <c r="S22" s="51"/>
      <c r="T22" s="51"/>
      <c r="U22" s="52"/>
      <c r="V22" s="53"/>
      <c r="W22" s="38"/>
      <c r="X22" s="38"/>
      <c r="Y22" s="38"/>
      <c r="Z22" s="38"/>
      <c r="AA22" s="38"/>
      <c r="AB22" s="40" t="s">
        <v>110</v>
      </c>
      <c r="AC22" s="40" t="s">
        <v>42</v>
      </c>
      <c r="AD22" s="54" t="s">
        <v>111</v>
      </c>
      <c r="AE22" s="38"/>
      <c r="AF22" s="38"/>
      <c r="AG22" s="38"/>
      <c r="AH22" s="38"/>
      <c r="AI22" s="38"/>
      <c r="AJ22" s="38"/>
      <c r="AK22" s="38"/>
    </row>
    <row r="23" ht="15.75" customHeight="1">
      <c r="A23" s="37">
        <v>46024.0</v>
      </c>
      <c r="B23" s="38"/>
      <c r="C23" s="39">
        <v>111.0</v>
      </c>
      <c r="D23" s="40" t="s">
        <v>112</v>
      </c>
      <c r="E23" s="41">
        <v>75.22</v>
      </c>
      <c r="F23" s="42">
        <v>1.0</v>
      </c>
      <c r="G23" s="43">
        <v>75.22</v>
      </c>
      <c r="H23" s="43">
        <v>85.0</v>
      </c>
      <c r="I23" s="44" t="s">
        <v>48</v>
      </c>
      <c r="J23" s="45"/>
      <c r="K23" s="46" t="s">
        <v>38</v>
      </c>
      <c r="L23" s="47">
        <v>46024.95568287037</v>
      </c>
      <c r="M23" s="57" t="s">
        <v>38</v>
      </c>
      <c r="N23" s="47">
        <v>46025.02284722222</v>
      </c>
      <c r="O23" s="58" t="s">
        <v>100</v>
      </c>
      <c r="P23" s="45"/>
      <c r="Q23" s="48"/>
      <c r="R23" s="50" t="s">
        <v>113</v>
      </c>
      <c r="S23" s="51"/>
      <c r="T23" s="51"/>
      <c r="U23" s="52"/>
      <c r="V23" s="53"/>
      <c r="W23" s="38"/>
      <c r="X23" s="38"/>
      <c r="Y23" s="38"/>
      <c r="Z23" s="38"/>
      <c r="AA23" s="38"/>
      <c r="AB23" s="40" t="s">
        <v>114</v>
      </c>
      <c r="AC23" s="40" t="s">
        <v>42</v>
      </c>
      <c r="AD23" s="54" t="s">
        <v>115</v>
      </c>
      <c r="AE23" s="38"/>
      <c r="AF23" s="38"/>
      <c r="AG23" s="38"/>
      <c r="AH23" s="38"/>
      <c r="AI23" s="38"/>
      <c r="AJ23" s="38"/>
      <c r="AK23" s="38"/>
    </row>
    <row r="24" ht="15.75" customHeight="1">
      <c r="A24" s="37">
        <v>46025.0</v>
      </c>
      <c r="B24" s="38"/>
      <c r="C24" s="39">
        <v>110.0</v>
      </c>
      <c r="D24" s="40" t="s">
        <v>116</v>
      </c>
      <c r="E24" s="41">
        <v>70.8</v>
      </c>
      <c r="F24" s="42">
        <v>1.0</v>
      </c>
      <c r="G24" s="43">
        <v>70.8</v>
      </c>
      <c r="H24" s="43">
        <v>80.0</v>
      </c>
      <c r="I24" s="44" t="s">
        <v>48</v>
      </c>
      <c r="J24" s="45"/>
      <c r="K24" s="46" t="s">
        <v>38</v>
      </c>
      <c r="L24" s="47">
        <v>46025.28333333333</v>
      </c>
      <c r="M24" s="45"/>
      <c r="N24" s="48"/>
      <c r="O24" s="49" t="str">
        <f t="shared" ref="O24:O25" si="1">IF(LOWER(M24)="yes",IF(LOWER(P24)="yes","Cleaned","Ready for cleaning"),"")</f>
        <v/>
      </c>
      <c r="P24" s="45"/>
      <c r="Q24" s="48"/>
      <c r="R24" s="50" t="s">
        <v>117</v>
      </c>
      <c r="S24" s="51"/>
      <c r="T24" s="51"/>
      <c r="U24" s="52"/>
      <c r="V24" s="53"/>
      <c r="W24" s="38"/>
      <c r="X24" s="38"/>
      <c r="Y24" s="38"/>
      <c r="Z24" s="38"/>
      <c r="AA24" s="38"/>
      <c r="AB24" s="40" t="s">
        <v>118</v>
      </c>
      <c r="AC24" s="40" t="s">
        <v>42</v>
      </c>
      <c r="AD24" s="54" t="s">
        <v>119</v>
      </c>
      <c r="AE24" s="38"/>
      <c r="AF24" s="38"/>
      <c r="AG24" s="38"/>
      <c r="AH24" s="38"/>
      <c r="AI24" s="38"/>
      <c r="AJ24" s="38"/>
      <c r="AK24" s="38"/>
    </row>
    <row r="25" ht="15.75" customHeight="1">
      <c r="A25" s="59"/>
      <c r="B25" s="38"/>
      <c r="C25" s="60"/>
      <c r="D25" s="38"/>
      <c r="E25" s="61"/>
      <c r="F25" s="52"/>
      <c r="G25" s="62"/>
      <c r="H25" s="62"/>
      <c r="I25" s="45"/>
      <c r="J25" s="45"/>
      <c r="K25" s="45"/>
      <c r="L25" s="48"/>
      <c r="M25" s="45"/>
      <c r="N25" s="48"/>
      <c r="O25" s="49" t="str">
        <f t="shared" si="1"/>
        <v/>
      </c>
      <c r="P25" s="45"/>
      <c r="Q25" s="48"/>
      <c r="R25" s="51"/>
      <c r="S25" s="51"/>
      <c r="T25" s="51"/>
      <c r="U25" s="52"/>
      <c r="V25" s="53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</row>
    <row r="26" ht="15.75" customHeight="1">
      <c r="A26" s="59"/>
      <c r="B26" s="38"/>
      <c r="C26" s="60"/>
      <c r="D26" s="38"/>
      <c r="E26" s="61"/>
      <c r="F26" s="52"/>
      <c r="G26" s="62"/>
      <c r="H26" s="62"/>
      <c r="I26" s="45"/>
      <c r="J26" s="45"/>
      <c r="K26" s="45"/>
      <c r="L26" s="48"/>
      <c r="M26" s="45"/>
      <c r="N26" s="48"/>
      <c r="O26" s="49"/>
      <c r="P26" s="45"/>
      <c r="Q26" s="48"/>
      <c r="R26" s="51"/>
      <c r="S26" s="51"/>
      <c r="T26" s="51"/>
      <c r="U26" s="52"/>
      <c r="V26" s="53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</row>
    <row r="27" ht="15.75" customHeight="1">
      <c r="A27" s="59"/>
      <c r="B27" s="38"/>
      <c r="C27" s="60"/>
      <c r="D27" s="38"/>
      <c r="E27" s="61"/>
      <c r="F27" s="52"/>
      <c r="G27" s="62"/>
      <c r="H27" s="62"/>
      <c r="I27" s="45"/>
      <c r="J27" s="45"/>
      <c r="K27" s="45"/>
      <c r="L27" s="48"/>
      <c r="M27" s="45"/>
      <c r="N27" s="48"/>
      <c r="O27" s="49" t="str">
        <f t="shared" ref="O27:O199" si="2">IF(LOWER(M27)="yes",IF(LOWER(P27)="yes","Cleaned","Ready for cleaning"),"")</f>
        <v/>
      </c>
      <c r="P27" s="45"/>
      <c r="Q27" s="48"/>
      <c r="R27" s="51"/>
      <c r="S27" s="51"/>
      <c r="T27" s="51"/>
      <c r="U27" s="52"/>
      <c r="V27" s="53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</row>
    <row r="28" ht="15.75" customHeight="1">
      <c r="A28" s="59"/>
      <c r="B28" s="38"/>
      <c r="C28" s="60"/>
      <c r="D28" s="38"/>
      <c r="E28" s="61"/>
      <c r="F28" s="52"/>
      <c r="G28" s="62"/>
      <c r="H28" s="62"/>
      <c r="I28" s="45"/>
      <c r="J28" s="45"/>
      <c r="K28" s="45"/>
      <c r="L28" s="48"/>
      <c r="M28" s="45"/>
      <c r="N28" s="48"/>
      <c r="O28" s="49" t="str">
        <f t="shared" si="2"/>
        <v/>
      </c>
      <c r="P28" s="45"/>
      <c r="Q28" s="48"/>
      <c r="R28" s="51"/>
      <c r="S28" s="51"/>
      <c r="T28" s="51"/>
      <c r="U28" s="52"/>
      <c r="V28" s="53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</row>
    <row r="29" ht="15.75" customHeight="1">
      <c r="A29" s="59"/>
      <c r="B29" s="38"/>
      <c r="C29" s="60"/>
      <c r="D29" s="38"/>
      <c r="E29" s="61"/>
      <c r="F29" s="52"/>
      <c r="G29" s="62"/>
      <c r="H29" s="62"/>
      <c r="I29" s="45"/>
      <c r="J29" s="45"/>
      <c r="K29" s="45"/>
      <c r="L29" s="48"/>
      <c r="M29" s="45"/>
      <c r="N29" s="48"/>
      <c r="O29" s="49" t="str">
        <f t="shared" si="2"/>
        <v/>
      </c>
      <c r="P29" s="45"/>
      <c r="Q29" s="48"/>
      <c r="R29" s="51"/>
      <c r="S29" s="51"/>
      <c r="T29" s="51"/>
      <c r="U29" s="52"/>
      <c r="V29" s="53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ht="15.75" customHeight="1">
      <c r="A30" s="59"/>
      <c r="B30" s="38"/>
      <c r="C30" s="60"/>
      <c r="D30" s="38"/>
      <c r="E30" s="61"/>
      <c r="F30" s="52"/>
      <c r="G30" s="62"/>
      <c r="H30" s="62"/>
      <c r="I30" s="45"/>
      <c r="J30" s="45"/>
      <c r="K30" s="45"/>
      <c r="L30" s="48"/>
      <c r="M30" s="45"/>
      <c r="N30" s="48"/>
      <c r="O30" s="49" t="str">
        <f t="shared" si="2"/>
        <v/>
      </c>
      <c r="P30" s="45"/>
      <c r="Q30" s="48"/>
      <c r="R30" s="51"/>
      <c r="S30" s="51"/>
      <c r="T30" s="51"/>
      <c r="U30" s="52"/>
      <c r="V30" s="53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</row>
    <row r="31" ht="15.75" customHeight="1">
      <c r="A31" s="59"/>
      <c r="B31" s="38"/>
      <c r="C31" s="60"/>
      <c r="D31" s="38"/>
      <c r="E31" s="61"/>
      <c r="F31" s="52"/>
      <c r="G31" s="62"/>
      <c r="H31" s="62"/>
      <c r="I31" s="45"/>
      <c r="J31" s="45"/>
      <c r="K31" s="45"/>
      <c r="L31" s="48"/>
      <c r="M31" s="45"/>
      <c r="N31" s="48"/>
      <c r="O31" s="49" t="str">
        <f t="shared" si="2"/>
        <v/>
      </c>
      <c r="P31" s="45"/>
      <c r="Q31" s="48"/>
      <c r="R31" s="51"/>
      <c r="S31" s="51"/>
      <c r="T31" s="51"/>
      <c r="U31" s="52"/>
      <c r="V31" s="53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</row>
    <row r="32" ht="15.75" customHeight="1">
      <c r="A32" s="59"/>
      <c r="B32" s="38"/>
      <c r="C32" s="60"/>
      <c r="D32" s="38"/>
      <c r="E32" s="61"/>
      <c r="F32" s="52"/>
      <c r="G32" s="62"/>
      <c r="H32" s="62"/>
      <c r="I32" s="45"/>
      <c r="J32" s="45"/>
      <c r="K32" s="45"/>
      <c r="L32" s="48"/>
      <c r="M32" s="45"/>
      <c r="N32" s="48"/>
      <c r="O32" s="49" t="str">
        <f t="shared" si="2"/>
        <v/>
      </c>
      <c r="P32" s="45"/>
      <c r="Q32" s="48"/>
      <c r="R32" s="51"/>
      <c r="S32" s="51"/>
      <c r="T32" s="51"/>
      <c r="U32" s="52"/>
      <c r="V32" s="53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</row>
    <row r="33" ht="15.75" customHeight="1">
      <c r="A33" s="59"/>
      <c r="B33" s="38"/>
      <c r="C33" s="60"/>
      <c r="D33" s="38"/>
      <c r="E33" s="61"/>
      <c r="F33" s="52"/>
      <c r="G33" s="62"/>
      <c r="H33" s="62"/>
      <c r="I33" s="45"/>
      <c r="J33" s="45"/>
      <c r="K33" s="45"/>
      <c r="L33" s="48"/>
      <c r="M33" s="45"/>
      <c r="N33" s="48"/>
      <c r="O33" s="49" t="str">
        <f t="shared" si="2"/>
        <v/>
      </c>
      <c r="P33" s="45"/>
      <c r="Q33" s="48"/>
      <c r="R33" s="51"/>
      <c r="S33" s="51"/>
      <c r="T33" s="51"/>
      <c r="U33" s="52"/>
      <c r="V33" s="53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</row>
    <row r="34" ht="15.75" customHeight="1">
      <c r="A34" s="59"/>
      <c r="B34" s="38"/>
      <c r="C34" s="60"/>
      <c r="D34" s="38"/>
      <c r="E34" s="61"/>
      <c r="F34" s="52"/>
      <c r="G34" s="62"/>
      <c r="H34" s="62"/>
      <c r="I34" s="45"/>
      <c r="J34" s="45"/>
      <c r="K34" s="45"/>
      <c r="L34" s="48"/>
      <c r="M34" s="45"/>
      <c r="N34" s="48"/>
      <c r="O34" s="49" t="str">
        <f t="shared" si="2"/>
        <v/>
      </c>
      <c r="P34" s="45"/>
      <c r="Q34" s="48"/>
      <c r="R34" s="51"/>
      <c r="S34" s="51"/>
      <c r="T34" s="51"/>
      <c r="U34" s="52"/>
      <c r="V34" s="53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</row>
    <row r="35" ht="15.75" customHeight="1">
      <c r="A35" s="59"/>
      <c r="B35" s="38"/>
      <c r="C35" s="60"/>
      <c r="D35" s="38"/>
      <c r="E35" s="61"/>
      <c r="F35" s="52"/>
      <c r="G35" s="62"/>
      <c r="H35" s="62"/>
      <c r="I35" s="45"/>
      <c r="J35" s="45"/>
      <c r="K35" s="45"/>
      <c r="L35" s="48"/>
      <c r="M35" s="45"/>
      <c r="N35" s="48"/>
      <c r="O35" s="49" t="str">
        <f t="shared" si="2"/>
        <v/>
      </c>
      <c r="P35" s="45"/>
      <c r="Q35" s="48"/>
      <c r="R35" s="51"/>
      <c r="S35" s="51"/>
      <c r="T35" s="51"/>
      <c r="U35" s="52"/>
      <c r="V35" s="53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</row>
    <row r="36" ht="15.75" customHeight="1">
      <c r="A36" s="59"/>
      <c r="B36" s="38"/>
      <c r="C36" s="60"/>
      <c r="D36" s="38"/>
      <c r="E36" s="61"/>
      <c r="F36" s="52"/>
      <c r="G36" s="62"/>
      <c r="H36" s="62"/>
      <c r="I36" s="45"/>
      <c r="J36" s="45"/>
      <c r="K36" s="45"/>
      <c r="L36" s="48"/>
      <c r="M36" s="45"/>
      <c r="N36" s="48"/>
      <c r="O36" s="49" t="str">
        <f t="shared" si="2"/>
        <v/>
      </c>
      <c r="P36" s="45"/>
      <c r="Q36" s="48"/>
      <c r="R36" s="51"/>
      <c r="S36" s="51"/>
      <c r="T36" s="51"/>
      <c r="U36" s="52"/>
      <c r="V36" s="53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ht="15.75" customHeight="1">
      <c r="A37" s="59"/>
      <c r="B37" s="38"/>
      <c r="C37" s="60"/>
      <c r="D37" s="38"/>
      <c r="E37" s="61"/>
      <c r="F37" s="52"/>
      <c r="G37" s="62"/>
      <c r="H37" s="62"/>
      <c r="I37" s="45"/>
      <c r="J37" s="45"/>
      <c r="K37" s="45"/>
      <c r="L37" s="48"/>
      <c r="M37" s="45"/>
      <c r="N37" s="48"/>
      <c r="O37" s="49" t="str">
        <f t="shared" si="2"/>
        <v/>
      </c>
      <c r="P37" s="45"/>
      <c r="Q37" s="48"/>
      <c r="R37" s="51"/>
      <c r="S37" s="51"/>
      <c r="T37" s="51"/>
      <c r="U37" s="52"/>
      <c r="V37" s="53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</row>
    <row r="38" ht="15.75" customHeight="1">
      <c r="A38" s="59"/>
      <c r="B38" s="38"/>
      <c r="C38" s="60"/>
      <c r="D38" s="38"/>
      <c r="E38" s="61"/>
      <c r="F38" s="52"/>
      <c r="G38" s="62"/>
      <c r="H38" s="62"/>
      <c r="I38" s="45"/>
      <c r="J38" s="45"/>
      <c r="K38" s="45"/>
      <c r="L38" s="48"/>
      <c r="M38" s="45"/>
      <c r="N38" s="48"/>
      <c r="O38" s="49" t="str">
        <f t="shared" si="2"/>
        <v/>
      </c>
      <c r="P38" s="45"/>
      <c r="Q38" s="48"/>
      <c r="R38" s="51"/>
      <c r="S38" s="51"/>
      <c r="T38" s="51"/>
      <c r="U38" s="52"/>
      <c r="V38" s="53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</row>
    <row r="39" ht="15.75" customHeight="1">
      <c r="A39" s="59"/>
      <c r="B39" s="38"/>
      <c r="C39" s="60"/>
      <c r="D39" s="38"/>
      <c r="E39" s="61"/>
      <c r="F39" s="52"/>
      <c r="G39" s="62"/>
      <c r="H39" s="62"/>
      <c r="I39" s="45"/>
      <c r="J39" s="45"/>
      <c r="K39" s="45"/>
      <c r="L39" s="48"/>
      <c r="M39" s="45"/>
      <c r="N39" s="48"/>
      <c r="O39" s="49" t="str">
        <f t="shared" si="2"/>
        <v/>
      </c>
      <c r="P39" s="45"/>
      <c r="Q39" s="48"/>
      <c r="R39" s="51"/>
      <c r="S39" s="51"/>
      <c r="T39" s="51"/>
      <c r="U39" s="52"/>
      <c r="V39" s="53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</row>
    <row r="40" ht="15.75" customHeight="1">
      <c r="A40" s="59"/>
      <c r="B40" s="38"/>
      <c r="C40" s="60"/>
      <c r="D40" s="38"/>
      <c r="E40" s="61"/>
      <c r="F40" s="52"/>
      <c r="G40" s="62"/>
      <c r="H40" s="62"/>
      <c r="I40" s="45"/>
      <c r="J40" s="45"/>
      <c r="K40" s="45"/>
      <c r="L40" s="48"/>
      <c r="M40" s="45"/>
      <c r="N40" s="48"/>
      <c r="O40" s="49" t="str">
        <f t="shared" si="2"/>
        <v/>
      </c>
      <c r="P40" s="45"/>
      <c r="Q40" s="48"/>
      <c r="R40" s="51"/>
      <c r="S40" s="51"/>
      <c r="T40" s="51"/>
      <c r="U40" s="52"/>
      <c r="V40" s="53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</row>
    <row r="41" ht="15.75" customHeight="1">
      <c r="A41" s="59"/>
      <c r="B41" s="38"/>
      <c r="C41" s="60"/>
      <c r="D41" s="38"/>
      <c r="E41" s="61"/>
      <c r="F41" s="52"/>
      <c r="G41" s="62"/>
      <c r="H41" s="62"/>
      <c r="I41" s="45"/>
      <c r="J41" s="45"/>
      <c r="K41" s="45"/>
      <c r="L41" s="48"/>
      <c r="M41" s="45"/>
      <c r="N41" s="48"/>
      <c r="O41" s="49" t="str">
        <f t="shared" si="2"/>
        <v/>
      </c>
      <c r="P41" s="45"/>
      <c r="Q41" s="48"/>
      <c r="R41" s="51"/>
      <c r="S41" s="51"/>
      <c r="T41" s="51"/>
      <c r="U41" s="52"/>
      <c r="V41" s="53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</row>
    <row r="42" ht="15.75" customHeight="1">
      <c r="A42" s="59"/>
      <c r="B42" s="38"/>
      <c r="C42" s="60"/>
      <c r="D42" s="38"/>
      <c r="E42" s="61"/>
      <c r="F42" s="52"/>
      <c r="G42" s="62"/>
      <c r="H42" s="62"/>
      <c r="I42" s="45"/>
      <c r="J42" s="45"/>
      <c r="K42" s="45"/>
      <c r="L42" s="48"/>
      <c r="M42" s="45"/>
      <c r="N42" s="48"/>
      <c r="O42" s="49" t="str">
        <f t="shared" si="2"/>
        <v/>
      </c>
      <c r="P42" s="45"/>
      <c r="Q42" s="48"/>
      <c r="R42" s="51"/>
      <c r="S42" s="51"/>
      <c r="T42" s="51"/>
      <c r="U42" s="52"/>
      <c r="V42" s="53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</row>
    <row r="43" ht="15.75" customHeight="1">
      <c r="A43" s="59"/>
      <c r="B43" s="38"/>
      <c r="C43" s="60"/>
      <c r="D43" s="38"/>
      <c r="E43" s="61"/>
      <c r="F43" s="52"/>
      <c r="G43" s="62"/>
      <c r="H43" s="62"/>
      <c r="I43" s="45"/>
      <c r="J43" s="45"/>
      <c r="K43" s="45"/>
      <c r="L43" s="48"/>
      <c r="M43" s="45"/>
      <c r="N43" s="48"/>
      <c r="O43" s="49" t="str">
        <f t="shared" si="2"/>
        <v/>
      </c>
      <c r="P43" s="45"/>
      <c r="Q43" s="48"/>
      <c r="R43" s="51"/>
      <c r="S43" s="51"/>
      <c r="T43" s="51"/>
      <c r="U43" s="52"/>
      <c r="V43" s="53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</row>
    <row r="44" ht="15.75" customHeight="1">
      <c r="A44" s="59"/>
      <c r="B44" s="38"/>
      <c r="C44" s="60"/>
      <c r="D44" s="38"/>
      <c r="E44" s="61"/>
      <c r="F44" s="52"/>
      <c r="G44" s="62"/>
      <c r="H44" s="62"/>
      <c r="I44" s="45"/>
      <c r="J44" s="45"/>
      <c r="K44" s="45"/>
      <c r="L44" s="48"/>
      <c r="M44" s="45"/>
      <c r="N44" s="48"/>
      <c r="O44" s="49" t="str">
        <f t="shared" si="2"/>
        <v/>
      </c>
      <c r="P44" s="45"/>
      <c r="Q44" s="48"/>
      <c r="R44" s="51"/>
      <c r="S44" s="51"/>
      <c r="T44" s="51"/>
      <c r="U44" s="52"/>
      <c r="V44" s="53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</row>
    <row r="45" ht="15.75" customHeight="1">
      <c r="A45" s="59"/>
      <c r="B45" s="38"/>
      <c r="C45" s="60"/>
      <c r="D45" s="38"/>
      <c r="E45" s="61"/>
      <c r="F45" s="52"/>
      <c r="G45" s="62"/>
      <c r="H45" s="62"/>
      <c r="I45" s="45"/>
      <c r="J45" s="45"/>
      <c r="K45" s="45"/>
      <c r="L45" s="48"/>
      <c r="M45" s="45"/>
      <c r="N45" s="48"/>
      <c r="O45" s="49" t="str">
        <f t="shared" si="2"/>
        <v/>
      </c>
      <c r="P45" s="45"/>
      <c r="Q45" s="48"/>
      <c r="R45" s="51"/>
      <c r="S45" s="51"/>
      <c r="T45" s="51"/>
      <c r="U45" s="52"/>
      <c r="V45" s="53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</row>
    <row r="46" ht="15.75" customHeight="1">
      <c r="A46" s="59"/>
      <c r="B46" s="38"/>
      <c r="C46" s="60"/>
      <c r="D46" s="38"/>
      <c r="E46" s="61"/>
      <c r="F46" s="52"/>
      <c r="G46" s="62"/>
      <c r="H46" s="62"/>
      <c r="I46" s="45"/>
      <c r="J46" s="45"/>
      <c r="K46" s="45"/>
      <c r="L46" s="48"/>
      <c r="M46" s="45"/>
      <c r="N46" s="48"/>
      <c r="O46" s="49" t="str">
        <f t="shared" si="2"/>
        <v/>
      </c>
      <c r="P46" s="45"/>
      <c r="Q46" s="48"/>
      <c r="R46" s="51"/>
      <c r="S46" s="51"/>
      <c r="T46" s="51"/>
      <c r="U46" s="52"/>
      <c r="V46" s="53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</row>
    <row r="47" ht="15.75" customHeight="1">
      <c r="A47" s="59"/>
      <c r="B47" s="38"/>
      <c r="C47" s="60"/>
      <c r="D47" s="38"/>
      <c r="E47" s="61"/>
      <c r="F47" s="52"/>
      <c r="G47" s="62"/>
      <c r="H47" s="62"/>
      <c r="I47" s="45"/>
      <c r="J47" s="45"/>
      <c r="K47" s="45"/>
      <c r="L47" s="48"/>
      <c r="M47" s="45"/>
      <c r="N47" s="48"/>
      <c r="O47" s="49" t="str">
        <f t="shared" si="2"/>
        <v/>
      </c>
      <c r="P47" s="45"/>
      <c r="Q47" s="48"/>
      <c r="R47" s="51"/>
      <c r="S47" s="51"/>
      <c r="T47" s="51"/>
      <c r="U47" s="52"/>
      <c r="V47" s="53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</row>
    <row r="48" ht="15.75" customHeight="1">
      <c r="A48" s="59"/>
      <c r="B48" s="38"/>
      <c r="C48" s="60"/>
      <c r="D48" s="38"/>
      <c r="E48" s="61"/>
      <c r="F48" s="52"/>
      <c r="G48" s="62"/>
      <c r="H48" s="62"/>
      <c r="I48" s="45"/>
      <c r="J48" s="45"/>
      <c r="K48" s="45"/>
      <c r="L48" s="48"/>
      <c r="M48" s="45"/>
      <c r="N48" s="48"/>
      <c r="O48" s="49" t="str">
        <f t="shared" si="2"/>
        <v/>
      </c>
      <c r="P48" s="45"/>
      <c r="Q48" s="48"/>
      <c r="R48" s="51"/>
      <c r="S48" s="51"/>
      <c r="T48" s="51"/>
      <c r="U48" s="52"/>
      <c r="V48" s="53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</row>
    <row r="49" ht="15.75" customHeight="1">
      <c r="A49" s="59"/>
      <c r="B49" s="38"/>
      <c r="C49" s="60"/>
      <c r="D49" s="38"/>
      <c r="E49" s="61"/>
      <c r="F49" s="52"/>
      <c r="G49" s="62"/>
      <c r="H49" s="62"/>
      <c r="I49" s="45"/>
      <c r="J49" s="45"/>
      <c r="K49" s="45"/>
      <c r="L49" s="48"/>
      <c r="M49" s="45"/>
      <c r="N49" s="48"/>
      <c r="O49" s="49" t="str">
        <f t="shared" si="2"/>
        <v/>
      </c>
      <c r="P49" s="45"/>
      <c r="Q49" s="48"/>
      <c r="R49" s="51"/>
      <c r="S49" s="51"/>
      <c r="T49" s="51"/>
      <c r="U49" s="52"/>
      <c r="V49" s="53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</row>
    <row r="50" ht="15.75" customHeight="1">
      <c r="A50" s="59"/>
      <c r="B50" s="38"/>
      <c r="C50" s="60"/>
      <c r="D50" s="38"/>
      <c r="E50" s="61"/>
      <c r="F50" s="52"/>
      <c r="G50" s="62"/>
      <c r="H50" s="62"/>
      <c r="I50" s="45"/>
      <c r="J50" s="45"/>
      <c r="K50" s="45"/>
      <c r="L50" s="48"/>
      <c r="M50" s="45"/>
      <c r="N50" s="48"/>
      <c r="O50" s="49" t="str">
        <f t="shared" si="2"/>
        <v/>
      </c>
      <c r="P50" s="45"/>
      <c r="Q50" s="48"/>
      <c r="R50" s="51"/>
      <c r="S50" s="51"/>
      <c r="T50" s="51"/>
      <c r="U50" s="52"/>
      <c r="V50" s="53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</row>
    <row r="51" ht="15.75" customHeight="1">
      <c r="A51" s="59"/>
      <c r="B51" s="38"/>
      <c r="C51" s="60"/>
      <c r="D51" s="38"/>
      <c r="E51" s="61"/>
      <c r="F51" s="52"/>
      <c r="G51" s="62"/>
      <c r="H51" s="62"/>
      <c r="I51" s="45"/>
      <c r="J51" s="45"/>
      <c r="K51" s="45"/>
      <c r="L51" s="48"/>
      <c r="M51" s="45"/>
      <c r="N51" s="48"/>
      <c r="O51" s="49" t="str">
        <f t="shared" si="2"/>
        <v/>
      </c>
      <c r="P51" s="45"/>
      <c r="Q51" s="48"/>
      <c r="R51" s="51"/>
      <c r="S51" s="51"/>
      <c r="T51" s="51"/>
      <c r="U51" s="52"/>
      <c r="V51" s="53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</row>
    <row r="52" ht="15.75" customHeight="1">
      <c r="A52" s="59"/>
      <c r="B52" s="38"/>
      <c r="C52" s="60"/>
      <c r="D52" s="38"/>
      <c r="E52" s="61"/>
      <c r="F52" s="52"/>
      <c r="G52" s="62"/>
      <c r="H52" s="62"/>
      <c r="I52" s="45"/>
      <c r="J52" s="45"/>
      <c r="K52" s="45"/>
      <c r="L52" s="48"/>
      <c r="M52" s="45"/>
      <c r="N52" s="48"/>
      <c r="O52" s="49" t="str">
        <f t="shared" si="2"/>
        <v/>
      </c>
      <c r="P52" s="45"/>
      <c r="Q52" s="48"/>
      <c r="R52" s="51"/>
      <c r="S52" s="51"/>
      <c r="T52" s="51"/>
      <c r="U52" s="52"/>
      <c r="V52" s="53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</row>
    <row r="53" ht="15.75" customHeight="1">
      <c r="A53" s="59"/>
      <c r="B53" s="38"/>
      <c r="C53" s="60"/>
      <c r="D53" s="38"/>
      <c r="E53" s="61"/>
      <c r="F53" s="52"/>
      <c r="G53" s="62"/>
      <c r="H53" s="62"/>
      <c r="I53" s="45"/>
      <c r="J53" s="45"/>
      <c r="K53" s="45"/>
      <c r="L53" s="48"/>
      <c r="M53" s="45"/>
      <c r="N53" s="48"/>
      <c r="O53" s="49" t="str">
        <f t="shared" si="2"/>
        <v/>
      </c>
      <c r="P53" s="45"/>
      <c r="Q53" s="48"/>
      <c r="R53" s="51"/>
      <c r="S53" s="51"/>
      <c r="T53" s="51"/>
      <c r="U53" s="52"/>
      <c r="V53" s="53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</row>
    <row r="54" ht="15.75" customHeight="1">
      <c r="A54" s="59"/>
      <c r="B54" s="38"/>
      <c r="C54" s="60"/>
      <c r="D54" s="38"/>
      <c r="E54" s="61"/>
      <c r="F54" s="52"/>
      <c r="G54" s="62"/>
      <c r="H54" s="62"/>
      <c r="I54" s="45"/>
      <c r="J54" s="45"/>
      <c r="K54" s="45"/>
      <c r="L54" s="48"/>
      <c r="M54" s="45"/>
      <c r="N54" s="48"/>
      <c r="O54" s="49" t="str">
        <f t="shared" si="2"/>
        <v/>
      </c>
      <c r="P54" s="45"/>
      <c r="Q54" s="48"/>
      <c r="R54" s="51"/>
      <c r="S54" s="51"/>
      <c r="T54" s="51"/>
      <c r="U54" s="52"/>
      <c r="V54" s="53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</row>
    <row r="55" ht="15.75" customHeight="1">
      <c r="A55" s="59"/>
      <c r="B55" s="38"/>
      <c r="C55" s="60"/>
      <c r="D55" s="38"/>
      <c r="E55" s="61"/>
      <c r="F55" s="52"/>
      <c r="G55" s="62"/>
      <c r="H55" s="62"/>
      <c r="I55" s="45"/>
      <c r="J55" s="45"/>
      <c r="K55" s="45"/>
      <c r="L55" s="48"/>
      <c r="M55" s="45"/>
      <c r="N55" s="48"/>
      <c r="O55" s="49" t="str">
        <f t="shared" si="2"/>
        <v/>
      </c>
      <c r="P55" s="45"/>
      <c r="Q55" s="48"/>
      <c r="R55" s="51"/>
      <c r="S55" s="51"/>
      <c r="T55" s="51"/>
      <c r="U55" s="52"/>
      <c r="V55" s="53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</row>
    <row r="56" ht="15.75" customHeight="1">
      <c r="A56" s="59"/>
      <c r="B56" s="38"/>
      <c r="C56" s="60"/>
      <c r="D56" s="38"/>
      <c r="E56" s="61"/>
      <c r="F56" s="52"/>
      <c r="G56" s="62"/>
      <c r="H56" s="62"/>
      <c r="I56" s="45"/>
      <c r="J56" s="45"/>
      <c r="K56" s="45"/>
      <c r="L56" s="48"/>
      <c r="M56" s="45"/>
      <c r="N56" s="48"/>
      <c r="O56" s="49" t="str">
        <f t="shared" si="2"/>
        <v/>
      </c>
      <c r="P56" s="45"/>
      <c r="Q56" s="48"/>
      <c r="R56" s="51"/>
      <c r="S56" s="51"/>
      <c r="T56" s="51"/>
      <c r="U56" s="52"/>
      <c r="V56" s="53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</row>
    <row r="57" ht="15.75" customHeight="1">
      <c r="A57" s="59"/>
      <c r="B57" s="38"/>
      <c r="C57" s="60"/>
      <c r="D57" s="38"/>
      <c r="E57" s="61"/>
      <c r="F57" s="52"/>
      <c r="G57" s="62"/>
      <c r="H57" s="62"/>
      <c r="I57" s="45"/>
      <c r="J57" s="45"/>
      <c r="K57" s="45"/>
      <c r="L57" s="48"/>
      <c r="M57" s="45"/>
      <c r="N57" s="48"/>
      <c r="O57" s="49" t="str">
        <f t="shared" si="2"/>
        <v/>
      </c>
      <c r="P57" s="45"/>
      <c r="Q57" s="48"/>
      <c r="R57" s="51"/>
      <c r="S57" s="51"/>
      <c r="T57" s="51"/>
      <c r="U57" s="52"/>
      <c r="V57" s="53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</row>
    <row r="58" ht="15.75" customHeight="1">
      <c r="A58" s="59"/>
      <c r="B58" s="38"/>
      <c r="C58" s="60"/>
      <c r="D58" s="38"/>
      <c r="E58" s="61"/>
      <c r="F58" s="52"/>
      <c r="G58" s="62"/>
      <c r="H58" s="62"/>
      <c r="I58" s="45"/>
      <c r="J58" s="45"/>
      <c r="K58" s="45"/>
      <c r="L58" s="48"/>
      <c r="M58" s="45"/>
      <c r="N58" s="48"/>
      <c r="O58" s="49" t="str">
        <f t="shared" si="2"/>
        <v/>
      </c>
      <c r="P58" s="45"/>
      <c r="Q58" s="48"/>
      <c r="R58" s="51"/>
      <c r="S58" s="51"/>
      <c r="T58" s="51"/>
      <c r="U58" s="52"/>
      <c r="V58" s="53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</row>
    <row r="59" ht="15.75" customHeight="1">
      <c r="A59" s="59"/>
      <c r="B59" s="38"/>
      <c r="C59" s="60"/>
      <c r="D59" s="38"/>
      <c r="E59" s="61"/>
      <c r="F59" s="52"/>
      <c r="G59" s="62"/>
      <c r="H59" s="62"/>
      <c r="I59" s="45"/>
      <c r="J59" s="45"/>
      <c r="K59" s="45"/>
      <c r="L59" s="48"/>
      <c r="M59" s="45"/>
      <c r="N59" s="48"/>
      <c r="O59" s="49" t="str">
        <f t="shared" si="2"/>
        <v/>
      </c>
      <c r="P59" s="45"/>
      <c r="Q59" s="48"/>
      <c r="R59" s="51"/>
      <c r="S59" s="51"/>
      <c r="T59" s="51"/>
      <c r="U59" s="52"/>
      <c r="V59" s="53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</row>
    <row r="60" ht="15.75" customHeight="1">
      <c r="A60" s="59"/>
      <c r="B60" s="38"/>
      <c r="C60" s="60"/>
      <c r="D60" s="38"/>
      <c r="E60" s="61"/>
      <c r="F60" s="52"/>
      <c r="G60" s="62"/>
      <c r="H60" s="62"/>
      <c r="I60" s="45"/>
      <c r="J60" s="45"/>
      <c r="K60" s="45"/>
      <c r="L60" s="48"/>
      <c r="M60" s="45"/>
      <c r="N60" s="48"/>
      <c r="O60" s="49" t="str">
        <f t="shared" si="2"/>
        <v/>
      </c>
      <c r="P60" s="45"/>
      <c r="Q60" s="48"/>
      <c r="R60" s="51"/>
      <c r="S60" s="51"/>
      <c r="T60" s="51"/>
      <c r="U60" s="52"/>
      <c r="V60" s="53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</row>
    <row r="61" ht="15.75" customHeight="1">
      <c r="A61" s="59"/>
      <c r="B61" s="38"/>
      <c r="C61" s="60"/>
      <c r="D61" s="38"/>
      <c r="E61" s="61"/>
      <c r="F61" s="52"/>
      <c r="G61" s="62"/>
      <c r="H61" s="62"/>
      <c r="I61" s="45"/>
      <c r="J61" s="45"/>
      <c r="K61" s="45"/>
      <c r="L61" s="48"/>
      <c r="M61" s="45"/>
      <c r="N61" s="48"/>
      <c r="O61" s="49" t="str">
        <f t="shared" si="2"/>
        <v/>
      </c>
      <c r="P61" s="45"/>
      <c r="Q61" s="48"/>
      <c r="R61" s="51"/>
      <c r="S61" s="51"/>
      <c r="T61" s="51"/>
      <c r="U61" s="52"/>
      <c r="V61" s="53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</row>
    <row r="62" ht="15.75" customHeight="1">
      <c r="A62" s="59"/>
      <c r="B62" s="38"/>
      <c r="C62" s="60"/>
      <c r="D62" s="38"/>
      <c r="E62" s="61"/>
      <c r="F62" s="52"/>
      <c r="G62" s="62"/>
      <c r="H62" s="62"/>
      <c r="I62" s="45"/>
      <c r="J62" s="45"/>
      <c r="K62" s="45"/>
      <c r="L62" s="48"/>
      <c r="M62" s="45"/>
      <c r="N62" s="48"/>
      <c r="O62" s="49" t="str">
        <f t="shared" si="2"/>
        <v/>
      </c>
      <c r="P62" s="45"/>
      <c r="Q62" s="48"/>
      <c r="R62" s="51"/>
      <c r="S62" s="51"/>
      <c r="T62" s="51"/>
      <c r="U62" s="52"/>
      <c r="V62" s="53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</row>
    <row r="63" ht="15.75" customHeight="1">
      <c r="A63" s="59"/>
      <c r="B63" s="38"/>
      <c r="C63" s="60"/>
      <c r="D63" s="38"/>
      <c r="E63" s="61"/>
      <c r="F63" s="52"/>
      <c r="G63" s="62"/>
      <c r="H63" s="62"/>
      <c r="I63" s="45"/>
      <c r="J63" s="45"/>
      <c r="K63" s="45"/>
      <c r="L63" s="48"/>
      <c r="M63" s="45"/>
      <c r="N63" s="48"/>
      <c r="O63" s="49" t="str">
        <f t="shared" si="2"/>
        <v/>
      </c>
      <c r="P63" s="45"/>
      <c r="Q63" s="48"/>
      <c r="R63" s="51"/>
      <c r="S63" s="51"/>
      <c r="T63" s="51"/>
      <c r="U63" s="52"/>
      <c r="V63" s="53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</row>
    <row r="64" ht="15.75" customHeight="1">
      <c r="A64" s="59"/>
      <c r="B64" s="38"/>
      <c r="C64" s="60"/>
      <c r="D64" s="38"/>
      <c r="E64" s="61"/>
      <c r="F64" s="52"/>
      <c r="G64" s="62"/>
      <c r="H64" s="62"/>
      <c r="I64" s="45"/>
      <c r="J64" s="45"/>
      <c r="K64" s="45"/>
      <c r="L64" s="48"/>
      <c r="M64" s="45"/>
      <c r="N64" s="48"/>
      <c r="O64" s="49" t="str">
        <f t="shared" si="2"/>
        <v/>
      </c>
      <c r="P64" s="45"/>
      <c r="Q64" s="48"/>
      <c r="R64" s="51"/>
      <c r="S64" s="51"/>
      <c r="T64" s="51"/>
      <c r="U64" s="52"/>
      <c r="V64" s="53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</row>
    <row r="65" ht="15.75" customHeight="1">
      <c r="A65" s="59"/>
      <c r="B65" s="38"/>
      <c r="C65" s="60"/>
      <c r="D65" s="38"/>
      <c r="E65" s="61"/>
      <c r="F65" s="52"/>
      <c r="G65" s="62"/>
      <c r="H65" s="62"/>
      <c r="I65" s="45"/>
      <c r="J65" s="45"/>
      <c r="K65" s="45"/>
      <c r="L65" s="48"/>
      <c r="M65" s="45"/>
      <c r="N65" s="48"/>
      <c r="O65" s="49" t="str">
        <f t="shared" si="2"/>
        <v/>
      </c>
      <c r="P65" s="45"/>
      <c r="Q65" s="48"/>
      <c r="R65" s="51"/>
      <c r="S65" s="51"/>
      <c r="T65" s="51"/>
      <c r="U65" s="52"/>
      <c r="V65" s="53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</row>
    <row r="66" ht="15.75" customHeight="1">
      <c r="A66" s="59"/>
      <c r="B66" s="38"/>
      <c r="C66" s="60"/>
      <c r="D66" s="38"/>
      <c r="E66" s="61"/>
      <c r="F66" s="52"/>
      <c r="G66" s="62"/>
      <c r="H66" s="62"/>
      <c r="I66" s="45"/>
      <c r="J66" s="45"/>
      <c r="K66" s="45"/>
      <c r="L66" s="48"/>
      <c r="M66" s="45"/>
      <c r="N66" s="48"/>
      <c r="O66" s="49" t="str">
        <f t="shared" si="2"/>
        <v/>
      </c>
      <c r="P66" s="45"/>
      <c r="Q66" s="48"/>
      <c r="R66" s="51"/>
      <c r="S66" s="51"/>
      <c r="T66" s="51"/>
      <c r="U66" s="52"/>
      <c r="V66" s="53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</row>
    <row r="67" ht="15.75" customHeight="1">
      <c r="A67" s="59"/>
      <c r="B67" s="38"/>
      <c r="C67" s="60"/>
      <c r="D67" s="38"/>
      <c r="E67" s="61"/>
      <c r="F67" s="52"/>
      <c r="G67" s="62"/>
      <c r="H67" s="62"/>
      <c r="I67" s="45"/>
      <c r="J67" s="45"/>
      <c r="K67" s="45"/>
      <c r="L67" s="48"/>
      <c r="M67" s="45"/>
      <c r="N67" s="48"/>
      <c r="O67" s="49" t="str">
        <f t="shared" si="2"/>
        <v/>
      </c>
      <c r="P67" s="45"/>
      <c r="Q67" s="48"/>
      <c r="R67" s="51"/>
      <c r="S67" s="51"/>
      <c r="T67" s="51"/>
      <c r="U67" s="52"/>
      <c r="V67" s="53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</row>
    <row r="68" ht="15.75" customHeight="1">
      <c r="A68" s="59"/>
      <c r="B68" s="38"/>
      <c r="C68" s="60"/>
      <c r="D68" s="38"/>
      <c r="E68" s="61"/>
      <c r="F68" s="52"/>
      <c r="G68" s="62"/>
      <c r="H68" s="62"/>
      <c r="I68" s="45"/>
      <c r="J68" s="45"/>
      <c r="K68" s="45"/>
      <c r="L68" s="48"/>
      <c r="M68" s="45"/>
      <c r="N68" s="48"/>
      <c r="O68" s="49" t="str">
        <f t="shared" si="2"/>
        <v/>
      </c>
      <c r="P68" s="45"/>
      <c r="Q68" s="48"/>
      <c r="R68" s="51"/>
      <c r="S68" s="51"/>
      <c r="T68" s="51"/>
      <c r="U68" s="52"/>
      <c r="V68" s="53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</row>
    <row r="69" ht="15.75" customHeight="1">
      <c r="A69" s="59"/>
      <c r="B69" s="38"/>
      <c r="C69" s="60"/>
      <c r="D69" s="38"/>
      <c r="E69" s="61"/>
      <c r="F69" s="52"/>
      <c r="G69" s="62"/>
      <c r="H69" s="62"/>
      <c r="I69" s="45"/>
      <c r="J69" s="45"/>
      <c r="K69" s="45"/>
      <c r="L69" s="48"/>
      <c r="M69" s="45"/>
      <c r="N69" s="48"/>
      <c r="O69" s="49" t="str">
        <f t="shared" si="2"/>
        <v/>
      </c>
      <c r="P69" s="45"/>
      <c r="Q69" s="48"/>
      <c r="R69" s="51"/>
      <c r="S69" s="51"/>
      <c r="T69" s="51"/>
      <c r="U69" s="52"/>
      <c r="V69" s="53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</row>
    <row r="70" ht="15.75" customHeight="1">
      <c r="A70" s="59"/>
      <c r="B70" s="38"/>
      <c r="C70" s="60"/>
      <c r="D70" s="38"/>
      <c r="E70" s="61"/>
      <c r="F70" s="52"/>
      <c r="G70" s="62"/>
      <c r="H70" s="62"/>
      <c r="I70" s="45"/>
      <c r="J70" s="45"/>
      <c r="K70" s="45"/>
      <c r="L70" s="48"/>
      <c r="M70" s="45"/>
      <c r="N70" s="48"/>
      <c r="O70" s="49" t="str">
        <f t="shared" si="2"/>
        <v/>
      </c>
      <c r="P70" s="45"/>
      <c r="Q70" s="48"/>
      <c r="R70" s="51"/>
      <c r="S70" s="51"/>
      <c r="T70" s="51"/>
      <c r="U70" s="52"/>
      <c r="V70" s="53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</row>
    <row r="71" ht="15.75" customHeight="1">
      <c r="A71" s="59"/>
      <c r="B71" s="38"/>
      <c r="C71" s="60"/>
      <c r="D71" s="38"/>
      <c r="E71" s="61"/>
      <c r="F71" s="52"/>
      <c r="G71" s="62"/>
      <c r="H71" s="62"/>
      <c r="I71" s="45"/>
      <c r="J71" s="45"/>
      <c r="K71" s="45"/>
      <c r="L71" s="48"/>
      <c r="M71" s="45"/>
      <c r="N71" s="48"/>
      <c r="O71" s="49" t="str">
        <f t="shared" si="2"/>
        <v/>
      </c>
      <c r="P71" s="45"/>
      <c r="Q71" s="48"/>
      <c r="R71" s="51"/>
      <c r="S71" s="51"/>
      <c r="T71" s="51"/>
      <c r="U71" s="52"/>
      <c r="V71" s="53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</row>
    <row r="72" ht="15.75" customHeight="1">
      <c r="A72" s="59"/>
      <c r="B72" s="38"/>
      <c r="C72" s="60"/>
      <c r="D72" s="38"/>
      <c r="E72" s="61"/>
      <c r="F72" s="52"/>
      <c r="G72" s="62"/>
      <c r="H72" s="62"/>
      <c r="I72" s="45"/>
      <c r="J72" s="45"/>
      <c r="K72" s="45"/>
      <c r="L72" s="48"/>
      <c r="M72" s="45"/>
      <c r="N72" s="48"/>
      <c r="O72" s="49" t="str">
        <f t="shared" si="2"/>
        <v/>
      </c>
      <c r="P72" s="45"/>
      <c r="Q72" s="48"/>
      <c r="R72" s="51"/>
      <c r="S72" s="51"/>
      <c r="T72" s="51"/>
      <c r="U72" s="52"/>
      <c r="V72" s="53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</row>
    <row r="73" ht="15.75" customHeight="1">
      <c r="A73" s="59"/>
      <c r="B73" s="38"/>
      <c r="C73" s="60"/>
      <c r="D73" s="38"/>
      <c r="E73" s="61"/>
      <c r="F73" s="52"/>
      <c r="G73" s="62"/>
      <c r="H73" s="62"/>
      <c r="I73" s="45"/>
      <c r="J73" s="45"/>
      <c r="K73" s="45"/>
      <c r="L73" s="48"/>
      <c r="M73" s="45"/>
      <c r="N73" s="48"/>
      <c r="O73" s="49" t="str">
        <f t="shared" si="2"/>
        <v/>
      </c>
      <c r="P73" s="45"/>
      <c r="Q73" s="48"/>
      <c r="R73" s="51"/>
      <c r="S73" s="51"/>
      <c r="T73" s="51"/>
      <c r="U73" s="52"/>
      <c r="V73" s="53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</row>
    <row r="74" ht="15.75" customHeight="1">
      <c r="A74" s="59"/>
      <c r="B74" s="38"/>
      <c r="C74" s="60"/>
      <c r="D74" s="38"/>
      <c r="E74" s="61"/>
      <c r="F74" s="52"/>
      <c r="G74" s="62"/>
      <c r="H74" s="62"/>
      <c r="I74" s="45"/>
      <c r="J74" s="45"/>
      <c r="K74" s="45"/>
      <c r="L74" s="48"/>
      <c r="M74" s="45"/>
      <c r="N74" s="48"/>
      <c r="O74" s="49" t="str">
        <f t="shared" si="2"/>
        <v/>
      </c>
      <c r="P74" s="45"/>
      <c r="Q74" s="48"/>
      <c r="R74" s="51"/>
      <c r="S74" s="51"/>
      <c r="T74" s="51"/>
      <c r="U74" s="52"/>
      <c r="V74" s="53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</row>
    <row r="75" ht="15.75" customHeight="1">
      <c r="A75" s="59"/>
      <c r="B75" s="38"/>
      <c r="C75" s="60"/>
      <c r="D75" s="38"/>
      <c r="E75" s="61"/>
      <c r="F75" s="52"/>
      <c r="G75" s="62"/>
      <c r="H75" s="62"/>
      <c r="I75" s="45"/>
      <c r="J75" s="45"/>
      <c r="K75" s="45"/>
      <c r="L75" s="48"/>
      <c r="M75" s="45"/>
      <c r="N75" s="48"/>
      <c r="O75" s="49" t="str">
        <f t="shared" si="2"/>
        <v/>
      </c>
      <c r="P75" s="45"/>
      <c r="Q75" s="48"/>
      <c r="R75" s="51"/>
      <c r="S75" s="51"/>
      <c r="T75" s="51"/>
      <c r="U75" s="52"/>
      <c r="V75" s="53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</row>
    <row r="76" ht="15.75" customHeight="1">
      <c r="A76" s="59"/>
      <c r="B76" s="38"/>
      <c r="C76" s="60"/>
      <c r="D76" s="38"/>
      <c r="E76" s="61"/>
      <c r="F76" s="52"/>
      <c r="G76" s="62"/>
      <c r="H76" s="62"/>
      <c r="I76" s="45"/>
      <c r="J76" s="45"/>
      <c r="K76" s="45"/>
      <c r="L76" s="48"/>
      <c r="M76" s="45"/>
      <c r="N76" s="48"/>
      <c r="O76" s="49" t="str">
        <f t="shared" si="2"/>
        <v/>
      </c>
      <c r="P76" s="45"/>
      <c r="Q76" s="48"/>
      <c r="R76" s="51"/>
      <c r="S76" s="51"/>
      <c r="T76" s="51"/>
      <c r="U76" s="52"/>
      <c r="V76" s="53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</row>
    <row r="77" ht="15.75" customHeight="1">
      <c r="A77" s="59"/>
      <c r="B77" s="38"/>
      <c r="C77" s="60"/>
      <c r="D77" s="38"/>
      <c r="E77" s="61"/>
      <c r="F77" s="52"/>
      <c r="G77" s="62"/>
      <c r="H77" s="62"/>
      <c r="I77" s="45"/>
      <c r="J77" s="45"/>
      <c r="K77" s="45"/>
      <c r="L77" s="48"/>
      <c r="M77" s="45"/>
      <c r="N77" s="48"/>
      <c r="O77" s="49" t="str">
        <f t="shared" si="2"/>
        <v/>
      </c>
      <c r="P77" s="45"/>
      <c r="Q77" s="48"/>
      <c r="R77" s="51"/>
      <c r="S77" s="51"/>
      <c r="T77" s="51"/>
      <c r="U77" s="52"/>
      <c r="V77" s="53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</row>
    <row r="78" ht="15.75" customHeight="1">
      <c r="A78" s="59"/>
      <c r="B78" s="38"/>
      <c r="C78" s="60"/>
      <c r="D78" s="38"/>
      <c r="E78" s="61"/>
      <c r="F78" s="52"/>
      <c r="G78" s="62"/>
      <c r="H78" s="62"/>
      <c r="I78" s="45"/>
      <c r="J78" s="45"/>
      <c r="K78" s="45"/>
      <c r="L78" s="48"/>
      <c r="M78" s="45"/>
      <c r="N78" s="48"/>
      <c r="O78" s="49" t="str">
        <f t="shared" si="2"/>
        <v/>
      </c>
      <c r="P78" s="45"/>
      <c r="Q78" s="48"/>
      <c r="R78" s="51"/>
      <c r="S78" s="51"/>
      <c r="T78" s="51"/>
      <c r="U78" s="52"/>
      <c r="V78" s="53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</row>
    <row r="79" ht="15.75" customHeight="1">
      <c r="A79" s="59"/>
      <c r="B79" s="38"/>
      <c r="C79" s="60"/>
      <c r="D79" s="38"/>
      <c r="E79" s="61"/>
      <c r="F79" s="52"/>
      <c r="G79" s="62"/>
      <c r="H79" s="62"/>
      <c r="I79" s="45"/>
      <c r="J79" s="45"/>
      <c r="K79" s="45"/>
      <c r="L79" s="48"/>
      <c r="M79" s="45"/>
      <c r="N79" s="48"/>
      <c r="O79" s="49" t="str">
        <f t="shared" si="2"/>
        <v/>
      </c>
      <c r="P79" s="45"/>
      <c r="Q79" s="48"/>
      <c r="R79" s="51"/>
      <c r="S79" s="51"/>
      <c r="T79" s="51"/>
      <c r="U79" s="52"/>
      <c r="V79" s="53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</row>
    <row r="80" ht="15.75" customHeight="1">
      <c r="A80" s="59"/>
      <c r="B80" s="38"/>
      <c r="C80" s="60"/>
      <c r="D80" s="38"/>
      <c r="E80" s="61"/>
      <c r="F80" s="52"/>
      <c r="G80" s="62"/>
      <c r="H80" s="62"/>
      <c r="I80" s="45"/>
      <c r="J80" s="45"/>
      <c r="K80" s="45"/>
      <c r="L80" s="48"/>
      <c r="M80" s="45"/>
      <c r="N80" s="48"/>
      <c r="O80" s="49" t="str">
        <f t="shared" si="2"/>
        <v/>
      </c>
      <c r="P80" s="45"/>
      <c r="Q80" s="48"/>
      <c r="R80" s="51"/>
      <c r="S80" s="51"/>
      <c r="T80" s="51"/>
      <c r="U80" s="52"/>
      <c r="V80" s="53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</row>
    <row r="81" ht="15.75" customHeight="1">
      <c r="A81" s="59"/>
      <c r="B81" s="38"/>
      <c r="C81" s="60"/>
      <c r="D81" s="38"/>
      <c r="E81" s="61"/>
      <c r="F81" s="52"/>
      <c r="G81" s="62"/>
      <c r="H81" s="62"/>
      <c r="I81" s="45"/>
      <c r="J81" s="45"/>
      <c r="K81" s="45"/>
      <c r="L81" s="48"/>
      <c r="M81" s="45"/>
      <c r="N81" s="48"/>
      <c r="O81" s="49" t="str">
        <f t="shared" si="2"/>
        <v/>
      </c>
      <c r="P81" s="45"/>
      <c r="Q81" s="48"/>
      <c r="R81" s="51"/>
      <c r="S81" s="51"/>
      <c r="T81" s="51"/>
      <c r="U81" s="52"/>
      <c r="V81" s="53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ht="15.75" customHeight="1">
      <c r="A82" s="59"/>
      <c r="B82" s="38"/>
      <c r="C82" s="60"/>
      <c r="D82" s="38"/>
      <c r="E82" s="61"/>
      <c r="F82" s="52"/>
      <c r="G82" s="62"/>
      <c r="H82" s="62"/>
      <c r="I82" s="45"/>
      <c r="J82" s="45"/>
      <c r="K82" s="45"/>
      <c r="L82" s="48"/>
      <c r="M82" s="45"/>
      <c r="N82" s="48"/>
      <c r="O82" s="49" t="str">
        <f t="shared" si="2"/>
        <v/>
      </c>
      <c r="P82" s="45"/>
      <c r="Q82" s="48"/>
      <c r="R82" s="51"/>
      <c r="S82" s="51"/>
      <c r="T82" s="51"/>
      <c r="U82" s="52"/>
      <c r="V82" s="53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ht="15.75" customHeight="1">
      <c r="A83" s="59"/>
      <c r="B83" s="38"/>
      <c r="C83" s="60"/>
      <c r="D83" s="38"/>
      <c r="E83" s="61"/>
      <c r="F83" s="52"/>
      <c r="G83" s="62"/>
      <c r="H83" s="62"/>
      <c r="I83" s="45"/>
      <c r="J83" s="45"/>
      <c r="K83" s="45"/>
      <c r="L83" s="48"/>
      <c r="M83" s="45"/>
      <c r="N83" s="48"/>
      <c r="O83" s="49" t="str">
        <f t="shared" si="2"/>
        <v/>
      </c>
      <c r="P83" s="45"/>
      <c r="Q83" s="48"/>
      <c r="R83" s="51"/>
      <c r="S83" s="51"/>
      <c r="T83" s="51"/>
      <c r="U83" s="52"/>
      <c r="V83" s="53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ht="15.75" customHeight="1">
      <c r="A84" s="59"/>
      <c r="B84" s="38"/>
      <c r="C84" s="60"/>
      <c r="D84" s="38"/>
      <c r="E84" s="61"/>
      <c r="F84" s="52"/>
      <c r="G84" s="62"/>
      <c r="H84" s="62"/>
      <c r="I84" s="45"/>
      <c r="J84" s="45"/>
      <c r="K84" s="45"/>
      <c r="L84" s="48"/>
      <c r="M84" s="45"/>
      <c r="N84" s="48"/>
      <c r="O84" s="49" t="str">
        <f t="shared" si="2"/>
        <v/>
      </c>
      <c r="P84" s="45"/>
      <c r="Q84" s="48"/>
      <c r="R84" s="51"/>
      <c r="S84" s="51"/>
      <c r="T84" s="51"/>
      <c r="U84" s="52"/>
      <c r="V84" s="53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ht="15.75" customHeight="1">
      <c r="A85" s="59"/>
      <c r="B85" s="38"/>
      <c r="C85" s="60"/>
      <c r="D85" s="38"/>
      <c r="E85" s="61"/>
      <c r="F85" s="52"/>
      <c r="G85" s="62"/>
      <c r="H85" s="62"/>
      <c r="I85" s="45"/>
      <c r="J85" s="45"/>
      <c r="K85" s="45"/>
      <c r="L85" s="48"/>
      <c r="M85" s="45"/>
      <c r="N85" s="48"/>
      <c r="O85" s="49" t="str">
        <f t="shared" si="2"/>
        <v/>
      </c>
      <c r="P85" s="45"/>
      <c r="Q85" s="48"/>
      <c r="R85" s="51"/>
      <c r="S85" s="51"/>
      <c r="T85" s="51"/>
      <c r="U85" s="52"/>
      <c r="V85" s="53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ht="15.75" customHeight="1">
      <c r="A86" s="59"/>
      <c r="B86" s="38"/>
      <c r="C86" s="60"/>
      <c r="D86" s="38"/>
      <c r="E86" s="61"/>
      <c r="F86" s="52"/>
      <c r="G86" s="62"/>
      <c r="H86" s="62"/>
      <c r="I86" s="45"/>
      <c r="J86" s="45"/>
      <c r="K86" s="45"/>
      <c r="L86" s="48"/>
      <c r="M86" s="45"/>
      <c r="N86" s="48"/>
      <c r="O86" s="49" t="str">
        <f t="shared" si="2"/>
        <v/>
      </c>
      <c r="P86" s="45"/>
      <c r="Q86" s="48"/>
      <c r="R86" s="51"/>
      <c r="S86" s="51"/>
      <c r="T86" s="51"/>
      <c r="U86" s="52"/>
      <c r="V86" s="53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</row>
    <row r="87" ht="15.75" customHeight="1">
      <c r="A87" s="59"/>
      <c r="B87" s="38"/>
      <c r="C87" s="60"/>
      <c r="D87" s="38"/>
      <c r="E87" s="61"/>
      <c r="F87" s="52"/>
      <c r="G87" s="62"/>
      <c r="H87" s="62"/>
      <c r="I87" s="45"/>
      <c r="J87" s="45"/>
      <c r="K87" s="45"/>
      <c r="L87" s="48"/>
      <c r="M87" s="45"/>
      <c r="N87" s="48"/>
      <c r="O87" s="49" t="str">
        <f t="shared" si="2"/>
        <v/>
      </c>
      <c r="P87" s="45"/>
      <c r="Q87" s="48"/>
      <c r="R87" s="51"/>
      <c r="S87" s="51"/>
      <c r="T87" s="51"/>
      <c r="U87" s="52"/>
      <c r="V87" s="53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</row>
    <row r="88" ht="15.75" customHeight="1">
      <c r="A88" s="59"/>
      <c r="B88" s="38"/>
      <c r="C88" s="60"/>
      <c r="D88" s="38"/>
      <c r="E88" s="61"/>
      <c r="F88" s="52"/>
      <c r="G88" s="62"/>
      <c r="H88" s="62"/>
      <c r="I88" s="45"/>
      <c r="J88" s="45"/>
      <c r="K88" s="45"/>
      <c r="L88" s="48"/>
      <c r="M88" s="45"/>
      <c r="N88" s="48"/>
      <c r="O88" s="49" t="str">
        <f t="shared" si="2"/>
        <v/>
      </c>
      <c r="P88" s="45"/>
      <c r="Q88" s="48"/>
      <c r="R88" s="51"/>
      <c r="S88" s="51"/>
      <c r="T88" s="51"/>
      <c r="U88" s="52"/>
      <c r="V88" s="53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</row>
    <row r="89" ht="15.75" customHeight="1">
      <c r="A89" s="59"/>
      <c r="B89" s="38"/>
      <c r="C89" s="60"/>
      <c r="D89" s="38"/>
      <c r="E89" s="61"/>
      <c r="F89" s="52"/>
      <c r="G89" s="62"/>
      <c r="H89" s="62"/>
      <c r="I89" s="45"/>
      <c r="J89" s="45"/>
      <c r="K89" s="45"/>
      <c r="L89" s="48"/>
      <c r="M89" s="45"/>
      <c r="N89" s="48"/>
      <c r="O89" s="49" t="str">
        <f t="shared" si="2"/>
        <v/>
      </c>
      <c r="P89" s="45"/>
      <c r="Q89" s="48"/>
      <c r="R89" s="51"/>
      <c r="S89" s="51"/>
      <c r="T89" s="51"/>
      <c r="U89" s="52"/>
      <c r="V89" s="53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</row>
    <row r="90" ht="15.75" customHeight="1">
      <c r="A90" s="59"/>
      <c r="B90" s="38"/>
      <c r="C90" s="60"/>
      <c r="D90" s="38"/>
      <c r="E90" s="61"/>
      <c r="F90" s="52"/>
      <c r="G90" s="62"/>
      <c r="H90" s="62"/>
      <c r="I90" s="45"/>
      <c r="J90" s="45"/>
      <c r="K90" s="45"/>
      <c r="L90" s="48"/>
      <c r="M90" s="45"/>
      <c r="N90" s="48"/>
      <c r="O90" s="49" t="str">
        <f t="shared" si="2"/>
        <v/>
      </c>
      <c r="P90" s="45"/>
      <c r="Q90" s="48"/>
      <c r="R90" s="51"/>
      <c r="S90" s="51"/>
      <c r="T90" s="51"/>
      <c r="U90" s="52"/>
      <c r="V90" s="53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</row>
    <row r="91" ht="15.75" customHeight="1">
      <c r="A91" s="59"/>
      <c r="B91" s="38"/>
      <c r="C91" s="60"/>
      <c r="D91" s="38"/>
      <c r="E91" s="61"/>
      <c r="F91" s="52"/>
      <c r="G91" s="62"/>
      <c r="H91" s="62"/>
      <c r="I91" s="45"/>
      <c r="J91" s="45"/>
      <c r="K91" s="45"/>
      <c r="L91" s="48"/>
      <c r="M91" s="45"/>
      <c r="N91" s="48"/>
      <c r="O91" s="49" t="str">
        <f t="shared" si="2"/>
        <v/>
      </c>
      <c r="P91" s="45"/>
      <c r="Q91" s="48"/>
      <c r="R91" s="51"/>
      <c r="S91" s="51"/>
      <c r="T91" s="51"/>
      <c r="U91" s="52"/>
      <c r="V91" s="53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</row>
    <row r="92" ht="15.75" customHeight="1">
      <c r="A92" s="59"/>
      <c r="B92" s="38"/>
      <c r="C92" s="60"/>
      <c r="D92" s="38"/>
      <c r="E92" s="61"/>
      <c r="F92" s="52"/>
      <c r="G92" s="62"/>
      <c r="H92" s="62"/>
      <c r="I92" s="45"/>
      <c r="J92" s="45"/>
      <c r="K92" s="45"/>
      <c r="L92" s="48"/>
      <c r="M92" s="45"/>
      <c r="N92" s="48"/>
      <c r="O92" s="49" t="str">
        <f t="shared" si="2"/>
        <v/>
      </c>
      <c r="P92" s="45"/>
      <c r="Q92" s="48"/>
      <c r="R92" s="51"/>
      <c r="S92" s="51"/>
      <c r="T92" s="51"/>
      <c r="U92" s="52"/>
      <c r="V92" s="53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</row>
    <row r="93" ht="15.75" customHeight="1">
      <c r="A93" s="59"/>
      <c r="B93" s="38"/>
      <c r="C93" s="60"/>
      <c r="D93" s="38"/>
      <c r="E93" s="61"/>
      <c r="F93" s="52"/>
      <c r="G93" s="62"/>
      <c r="H93" s="62"/>
      <c r="I93" s="45"/>
      <c r="J93" s="45"/>
      <c r="K93" s="45"/>
      <c r="L93" s="48"/>
      <c r="M93" s="45"/>
      <c r="N93" s="48"/>
      <c r="O93" s="49" t="str">
        <f t="shared" si="2"/>
        <v/>
      </c>
      <c r="P93" s="45"/>
      <c r="Q93" s="48"/>
      <c r="R93" s="51"/>
      <c r="S93" s="51"/>
      <c r="T93" s="51"/>
      <c r="U93" s="52"/>
      <c r="V93" s="53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</row>
    <row r="94" ht="15.75" customHeight="1">
      <c r="A94" s="59"/>
      <c r="B94" s="38"/>
      <c r="C94" s="60"/>
      <c r="D94" s="38"/>
      <c r="E94" s="61"/>
      <c r="F94" s="52"/>
      <c r="G94" s="62"/>
      <c r="H94" s="62"/>
      <c r="I94" s="45"/>
      <c r="J94" s="45"/>
      <c r="K94" s="45"/>
      <c r="L94" s="48"/>
      <c r="M94" s="45"/>
      <c r="N94" s="48"/>
      <c r="O94" s="49" t="str">
        <f t="shared" si="2"/>
        <v/>
      </c>
      <c r="P94" s="45"/>
      <c r="Q94" s="48"/>
      <c r="R94" s="51"/>
      <c r="S94" s="51"/>
      <c r="T94" s="51"/>
      <c r="U94" s="52"/>
      <c r="V94" s="53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</row>
    <row r="95" ht="15.75" customHeight="1">
      <c r="A95" s="59"/>
      <c r="B95" s="38"/>
      <c r="C95" s="60"/>
      <c r="D95" s="38"/>
      <c r="E95" s="61"/>
      <c r="F95" s="52"/>
      <c r="G95" s="62"/>
      <c r="H95" s="62"/>
      <c r="I95" s="45"/>
      <c r="J95" s="45"/>
      <c r="K95" s="45"/>
      <c r="L95" s="48"/>
      <c r="M95" s="45"/>
      <c r="N95" s="48"/>
      <c r="O95" s="49" t="str">
        <f t="shared" si="2"/>
        <v/>
      </c>
      <c r="P95" s="45"/>
      <c r="Q95" s="48"/>
      <c r="R95" s="51"/>
      <c r="S95" s="51"/>
      <c r="T95" s="51"/>
      <c r="U95" s="52"/>
      <c r="V95" s="53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</row>
    <row r="96" ht="15.75" customHeight="1">
      <c r="A96" s="59"/>
      <c r="B96" s="38"/>
      <c r="C96" s="60"/>
      <c r="D96" s="38"/>
      <c r="E96" s="61"/>
      <c r="F96" s="52"/>
      <c r="G96" s="62"/>
      <c r="H96" s="62"/>
      <c r="I96" s="45"/>
      <c r="J96" s="45"/>
      <c r="K96" s="45"/>
      <c r="L96" s="48"/>
      <c r="M96" s="45"/>
      <c r="N96" s="48"/>
      <c r="O96" s="49" t="str">
        <f t="shared" si="2"/>
        <v/>
      </c>
      <c r="P96" s="45"/>
      <c r="Q96" s="48"/>
      <c r="R96" s="51"/>
      <c r="S96" s="51"/>
      <c r="T96" s="51"/>
      <c r="U96" s="52"/>
      <c r="V96" s="53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</row>
    <row r="97" ht="15.75" customHeight="1">
      <c r="A97" s="59"/>
      <c r="B97" s="38"/>
      <c r="C97" s="60"/>
      <c r="D97" s="38"/>
      <c r="E97" s="61"/>
      <c r="F97" s="52"/>
      <c r="G97" s="62"/>
      <c r="H97" s="62"/>
      <c r="I97" s="45"/>
      <c r="J97" s="45"/>
      <c r="K97" s="45"/>
      <c r="L97" s="48"/>
      <c r="M97" s="45"/>
      <c r="N97" s="48"/>
      <c r="O97" s="49" t="str">
        <f t="shared" si="2"/>
        <v/>
      </c>
      <c r="P97" s="45"/>
      <c r="Q97" s="48"/>
      <c r="R97" s="51"/>
      <c r="S97" s="51"/>
      <c r="T97" s="51"/>
      <c r="U97" s="52"/>
      <c r="V97" s="53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</row>
    <row r="98" ht="15.75" customHeight="1">
      <c r="A98" s="59"/>
      <c r="B98" s="38"/>
      <c r="C98" s="60"/>
      <c r="D98" s="38"/>
      <c r="E98" s="61"/>
      <c r="F98" s="52"/>
      <c r="G98" s="62"/>
      <c r="H98" s="62"/>
      <c r="I98" s="45"/>
      <c r="J98" s="45"/>
      <c r="K98" s="45"/>
      <c r="L98" s="48"/>
      <c r="M98" s="45"/>
      <c r="N98" s="48"/>
      <c r="O98" s="49" t="str">
        <f t="shared" si="2"/>
        <v/>
      </c>
      <c r="P98" s="45"/>
      <c r="Q98" s="48"/>
      <c r="R98" s="51"/>
      <c r="S98" s="51"/>
      <c r="T98" s="51"/>
      <c r="U98" s="52"/>
      <c r="V98" s="53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</row>
    <row r="99" ht="15.75" customHeight="1">
      <c r="A99" s="59"/>
      <c r="B99" s="38"/>
      <c r="C99" s="60"/>
      <c r="D99" s="38"/>
      <c r="E99" s="61"/>
      <c r="F99" s="52"/>
      <c r="G99" s="62"/>
      <c r="H99" s="62"/>
      <c r="I99" s="45"/>
      <c r="J99" s="45"/>
      <c r="K99" s="45"/>
      <c r="L99" s="48"/>
      <c r="M99" s="45"/>
      <c r="N99" s="48"/>
      <c r="O99" s="49" t="str">
        <f t="shared" si="2"/>
        <v/>
      </c>
      <c r="P99" s="45"/>
      <c r="Q99" s="48"/>
      <c r="R99" s="51"/>
      <c r="S99" s="51"/>
      <c r="T99" s="51"/>
      <c r="U99" s="52"/>
      <c r="V99" s="53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</row>
    <row r="100" ht="15.75" customHeight="1">
      <c r="A100" s="59"/>
      <c r="B100" s="38"/>
      <c r="C100" s="60"/>
      <c r="D100" s="38"/>
      <c r="E100" s="61"/>
      <c r="F100" s="52"/>
      <c r="G100" s="62"/>
      <c r="H100" s="62"/>
      <c r="I100" s="45"/>
      <c r="J100" s="45"/>
      <c r="K100" s="45"/>
      <c r="L100" s="48"/>
      <c r="M100" s="45"/>
      <c r="N100" s="48"/>
      <c r="O100" s="49" t="str">
        <f t="shared" si="2"/>
        <v/>
      </c>
      <c r="P100" s="45"/>
      <c r="Q100" s="48"/>
      <c r="R100" s="51"/>
      <c r="S100" s="51"/>
      <c r="T100" s="51"/>
      <c r="U100" s="52"/>
      <c r="V100" s="53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</row>
    <row r="101" ht="15.75" customHeight="1">
      <c r="A101" s="59"/>
      <c r="B101" s="38"/>
      <c r="C101" s="60"/>
      <c r="D101" s="38"/>
      <c r="E101" s="61"/>
      <c r="F101" s="52"/>
      <c r="G101" s="62"/>
      <c r="H101" s="62"/>
      <c r="I101" s="45"/>
      <c r="J101" s="45"/>
      <c r="K101" s="45"/>
      <c r="L101" s="48"/>
      <c r="M101" s="45"/>
      <c r="N101" s="48"/>
      <c r="O101" s="49" t="str">
        <f t="shared" si="2"/>
        <v/>
      </c>
      <c r="P101" s="45"/>
      <c r="Q101" s="48"/>
      <c r="R101" s="51"/>
      <c r="S101" s="51"/>
      <c r="T101" s="51"/>
      <c r="U101" s="52"/>
      <c r="V101" s="53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</row>
    <row r="102" ht="15.75" customHeight="1">
      <c r="A102" s="59"/>
      <c r="B102" s="38"/>
      <c r="C102" s="60"/>
      <c r="D102" s="38"/>
      <c r="E102" s="61"/>
      <c r="F102" s="52"/>
      <c r="G102" s="62"/>
      <c r="H102" s="62"/>
      <c r="I102" s="45"/>
      <c r="J102" s="45"/>
      <c r="K102" s="45"/>
      <c r="L102" s="48"/>
      <c r="M102" s="45"/>
      <c r="N102" s="48"/>
      <c r="O102" s="49" t="str">
        <f t="shared" si="2"/>
        <v/>
      </c>
      <c r="P102" s="45"/>
      <c r="Q102" s="48"/>
      <c r="R102" s="51"/>
      <c r="S102" s="51"/>
      <c r="T102" s="51"/>
      <c r="U102" s="52"/>
      <c r="V102" s="53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</row>
    <row r="103" ht="15.75" customHeight="1">
      <c r="A103" s="59"/>
      <c r="B103" s="38"/>
      <c r="C103" s="60"/>
      <c r="D103" s="38"/>
      <c r="E103" s="61"/>
      <c r="F103" s="52"/>
      <c r="G103" s="62"/>
      <c r="H103" s="62"/>
      <c r="I103" s="45"/>
      <c r="J103" s="45"/>
      <c r="K103" s="45"/>
      <c r="L103" s="48"/>
      <c r="M103" s="45"/>
      <c r="N103" s="48"/>
      <c r="O103" s="49" t="str">
        <f t="shared" si="2"/>
        <v/>
      </c>
      <c r="P103" s="45"/>
      <c r="Q103" s="48"/>
      <c r="R103" s="51"/>
      <c r="S103" s="51"/>
      <c r="T103" s="51"/>
      <c r="U103" s="52"/>
      <c r="V103" s="53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</row>
    <row r="104" ht="15.75" customHeight="1">
      <c r="A104" s="59"/>
      <c r="B104" s="38"/>
      <c r="C104" s="60"/>
      <c r="D104" s="38"/>
      <c r="E104" s="61"/>
      <c r="F104" s="52"/>
      <c r="G104" s="62"/>
      <c r="H104" s="62"/>
      <c r="I104" s="45"/>
      <c r="J104" s="45"/>
      <c r="K104" s="45"/>
      <c r="L104" s="48"/>
      <c r="M104" s="45"/>
      <c r="N104" s="48"/>
      <c r="O104" s="49" t="str">
        <f t="shared" si="2"/>
        <v/>
      </c>
      <c r="P104" s="45"/>
      <c r="Q104" s="48"/>
      <c r="R104" s="51"/>
      <c r="S104" s="51"/>
      <c r="T104" s="51"/>
      <c r="U104" s="52"/>
      <c r="V104" s="53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</row>
    <row r="105" ht="15.75" customHeight="1">
      <c r="A105" s="59"/>
      <c r="B105" s="38"/>
      <c r="C105" s="60"/>
      <c r="D105" s="38"/>
      <c r="E105" s="61"/>
      <c r="F105" s="52"/>
      <c r="G105" s="62"/>
      <c r="H105" s="62"/>
      <c r="I105" s="45"/>
      <c r="J105" s="45"/>
      <c r="K105" s="45"/>
      <c r="L105" s="48"/>
      <c r="M105" s="45"/>
      <c r="N105" s="48"/>
      <c r="O105" s="49" t="str">
        <f t="shared" si="2"/>
        <v/>
      </c>
      <c r="P105" s="45"/>
      <c r="Q105" s="48"/>
      <c r="R105" s="51"/>
      <c r="S105" s="51"/>
      <c r="T105" s="51"/>
      <c r="U105" s="52"/>
      <c r="V105" s="53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</row>
    <row r="106" ht="15.75" customHeight="1">
      <c r="A106" s="59"/>
      <c r="B106" s="38"/>
      <c r="C106" s="60"/>
      <c r="D106" s="38"/>
      <c r="E106" s="61"/>
      <c r="F106" s="52"/>
      <c r="G106" s="62"/>
      <c r="H106" s="62"/>
      <c r="I106" s="45"/>
      <c r="J106" s="45"/>
      <c r="K106" s="45"/>
      <c r="L106" s="48"/>
      <c r="M106" s="45"/>
      <c r="N106" s="48"/>
      <c r="O106" s="49" t="str">
        <f t="shared" si="2"/>
        <v/>
      </c>
      <c r="P106" s="45"/>
      <c r="Q106" s="48"/>
      <c r="R106" s="51"/>
      <c r="S106" s="51"/>
      <c r="T106" s="51"/>
      <c r="U106" s="52"/>
      <c r="V106" s="53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</row>
    <row r="107" ht="15.75" customHeight="1">
      <c r="A107" s="59"/>
      <c r="B107" s="38"/>
      <c r="C107" s="60"/>
      <c r="D107" s="38"/>
      <c r="E107" s="61"/>
      <c r="F107" s="52"/>
      <c r="G107" s="62"/>
      <c r="H107" s="62"/>
      <c r="I107" s="45"/>
      <c r="J107" s="45"/>
      <c r="K107" s="45"/>
      <c r="L107" s="48"/>
      <c r="M107" s="45"/>
      <c r="N107" s="48"/>
      <c r="O107" s="49" t="str">
        <f t="shared" si="2"/>
        <v/>
      </c>
      <c r="P107" s="45"/>
      <c r="Q107" s="48"/>
      <c r="R107" s="51"/>
      <c r="S107" s="51"/>
      <c r="T107" s="51"/>
      <c r="U107" s="52"/>
      <c r="V107" s="53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</row>
    <row r="108" ht="15.75" customHeight="1">
      <c r="A108" s="59"/>
      <c r="B108" s="38"/>
      <c r="C108" s="60"/>
      <c r="D108" s="38"/>
      <c r="E108" s="61"/>
      <c r="F108" s="52"/>
      <c r="G108" s="62"/>
      <c r="H108" s="62"/>
      <c r="I108" s="45"/>
      <c r="J108" s="45"/>
      <c r="K108" s="45"/>
      <c r="L108" s="48"/>
      <c r="M108" s="45"/>
      <c r="N108" s="48"/>
      <c r="O108" s="49" t="str">
        <f t="shared" si="2"/>
        <v/>
      </c>
      <c r="P108" s="45"/>
      <c r="Q108" s="48"/>
      <c r="R108" s="51"/>
      <c r="S108" s="51"/>
      <c r="T108" s="51"/>
      <c r="U108" s="52"/>
      <c r="V108" s="53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</row>
    <row r="109" ht="15.75" customHeight="1">
      <c r="A109" s="59"/>
      <c r="B109" s="38"/>
      <c r="C109" s="60"/>
      <c r="D109" s="38"/>
      <c r="E109" s="61"/>
      <c r="F109" s="52"/>
      <c r="G109" s="62"/>
      <c r="H109" s="62"/>
      <c r="I109" s="45"/>
      <c r="J109" s="45"/>
      <c r="K109" s="45"/>
      <c r="L109" s="48"/>
      <c r="M109" s="45"/>
      <c r="N109" s="48"/>
      <c r="O109" s="49" t="str">
        <f t="shared" si="2"/>
        <v/>
      </c>
      <c r="P109" s="45"/>
      <c r="Q109" s="48"/>
      <c r="R109" s="51"/>
      <c r="S109" s="51"/>
      <c r="T109" s="51"/>
      <c r="U109" s="52"/>
      <c r="V109" s="53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</row>
    <row r="110" ht="15.75" customHeight="1">
      <c r="A110" s="59"/>
      <c r="B110" s="38"/>
      <c r="C110" s="60"/>
      <c r="D110" s="38"/>
      <c r="E110" s="61"/>
      <c r="F110" s="52"/>
      <c r="G110" s="62"/>
      <c r="H110" s="62"/>
      <c r="I110" s="45"/>
      <c r="J110" s="45"/>
      <c r="K110" s="45"/>
      <c r="L110" s="48"/>
      <c r="M110" s="45"/>
      <c r="N110" s="48"/>
      <c r="O110" s="49" t="str">
        <f t="shared" si="2"/>
        <v/>
      </c>
      <c r="P110" s="45"/>
      <c r="Q110" s="48"/>
      <c r="R110" s="51"/>
      <c r="S110" s="51"/>
      <c r="T110" s="51"/>
      <c r="U110" s="52"/>
      <c r="V110" s="53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</row>
    <row r="111" ht="15.75" customHeight="1">
      <c r="A111" s="59"/>
      <c r="B111" s="38"/>
      <c r="C111" s="60"/>
      <c r="D111" s="38"/>
      <c r="E111" s="61"/>
      <c r="F111" s="52"/>
      <c r="G111" s="62"/>
      <c r="H111" s="62"/>
      <c r="I111" s="45"/>
      <c r="J111" s="45"/>
      <c r="K111" s="45"/>
      <c r="L111" s="48"/>
      <c r="M111" s="45"/>
      <c r="N111" s="48"/>
      <c r="O111" s="49" t="str">
        <f t="shared" si="2"/>
        <v/>
      </c>
      <c r="P111" s="45"/>
      <c r="Q111" s="48"/>
      <c r="R111" s="51"/>
      <c r="S111" s="51"/>
      <c r="T111" s="51"/>
      <c r="U111" s="52"/>
      <c r="V111" s="53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</row>
    <row r="112" ht="15.75" customHeight="1">
      <c r="A112" s="59"/>
      <c r="B112" s="38"/>
      <c r="C112" s="60"/>
      <c r="D112" s="38"/>
      <c r="E112" s="61"/>
      <c r="F112" s="52"/>
      <c r="G112" s="62"/>
      <c r="H112" s="62"/>
      <c r="I112" s="45"/>
      <c r="J112" s="45"/>
      <c r="K112" s="45"/>
      <c r="L112" s="48"/>
      <c r="M112" s="45"/>
      <c r="N112" s="48"/>
      <c r="O112" s="49" t="str">
        <f t="shared" si="2"/>
        <v/>
      </c>
      <c r="P112" s="45"/>
      <c r="Q112" s="48"/>
      <c r="R112" s="51"/>
      <c r="S112" s="51"/>
      <c r="T112" s="51"/>
      <c r="U112" s="52"/>
      <c r="V112" s="53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</row>
    <row r="113" ht="15.75" customHeight="1">
      <c r="A113" s="59"/>
      <c r="B113" s="38"/>
      <c r="C113" s="60"/>
      <c r="D113" s="38"/>
      <c r="E113" s="61"/>
      <c r="F113" s="52"/>
      <c r="G113" s="62"/>
      <c r="H113" s="62"/>
      <c r="I113" s="45"/>
      <c r="J113" s="45"/>
      <c r="K113" s="45"/>
      <c r="L113" s="48"/>
      <c r="M113" s="45"/>
      <c r="N113" s="48"/>
      <c r="O113" s="49" t="str">
        <f t="shared" si="2"/>
        <v/>
      </c>
      <c r="P113" s="45"/>
      <c r="Q113" s="48"/>
      <c r="R113" s="51"/>
      <c r="S113" s="51"/>
      <c r="T113" s="51"/>
      <c r="U113" s="52"/>
      <c r="V113" s="53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</row>
    <row r="114" ht="15.75" customHeight="1">
      <c r="A114" s="59"/>
      <c r="B114" s="38"/>
      <c r="C114" s="60"/>
      <c r="D114" s="38"/>
      <c r="E114" s="61"/>
      <c r="F114" s="52"/>
      <c r="G114" s="62"/>
      <c r="H114" s="62"/>
      <c r="I114" s="45"/>
      <c r="J114" s="45"/>
      <c r="K114" s="45"/>
      <c r="L114" s="48"/>
      <c r="M114" s="45"/>
      <c r="N114" s="48"/>
      <c r="O114" s="49" t="str">
        <f t="shared" si="2"/>
        <v/>
      </c>
      <c r="P114" s="45"/>
      <c r="Q114" s="48"/>
      <c r="R114" s="51"/>
      <c r="S114" s="51"/>
      <c r="T114" s="51"/>
      <c r="U114" s="52"/>
      <c r="V114" s="53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</row>
    <row r="115" ht="15.75" customHeight="1">
      <c r="A115" s="59"/>
      <c r="B115" s="38"/>
      <c r="C115" s="60"/>
      <c r="D115" s="38"/>
      <c r="E115" s="61"/>
      <c r="F115" s="52"/>
      <c r="G115" s="62"/>
      <c r="H115" s="62"/>
      <c r="I115" s="45"/>
      <c r="J115" s="45"/>
      <c r="K115" s="45"/>
      <c r="L115" s="48"/>
      <c r="M115" s="45"/>
      <c r="N115" s="48"/>
      <c r="O115" s="49" t="str">
        <f t="shared" si="2"/>
        <v/>
      </c>
      <c r="P115" s="45"/>
      <c r="Q115" s="48"/>
      <c r="R115" s="51"/>
      <c r="S115" s="51"/>
      <c r="T115" s="51"/>
      <c r="U115" s="52"/>
      <c r="V115" s="53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</row>
    <row r="116" ht="15.75" customHeight="1">
      <c r="A116" s="59"/>
      <c r="B116" s="38"/>
      <c r="C116" s="60"/>
      <c r="D116" s="38"/>
      <c r="E116" s="61"/>
      <c r="F116" s="52"/>
      <c r="G116" s="62"/>
      <c r="H116" s="62"/>
      <c r="I116" s="45"/>
      <c r="J116" s="45"/>
      <c r="K116" s="45"/>
      <c r="L116" s="48"/>
      <c r="M116" s="45"/>
      <c r="N116" s="48"/>
      <c r="O116" s="49" t="str">
        <f t="shared" si="2"/>
        <v/>
      </c>
      <c r="P116" s="45"/>
      <c r="Q116" s="48"/>
      <c r="R116" s="51"/>
      <c r="S116" s="51"/>
      <c r="T116" s="51"/>
      <c r="U116" s="52"/>
      <c r="V116" s="53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</row>
    <row r="117" ht="15.75" customHeight="1">
      <c r="A117" s="59"/>
      <c r="B117" s="38"/>
      <c r="C117" s="60"/>
      <c r="D117" s="38"/>
      <c r="E117" s="61"/>
      <c r="F117" s="52"/>
      <c r="G117" s="62"/>
      <c r="H117" s="62"/>
      <c r="I117" s="45"/>
      <c r="J117" s="45"/>
      <c r="K117" s="45"/>
      <c r="L117" s="48"/>
      <c r="M117" s="45"/>
      <c r="N117" s="48"/>
      <c r="O117" s="49" t="str">
        <f t="shared" si="2"/>
        <v/>
      </c>
      <c r="P117" s="45"/>
      <c r="Q117" s="48"/>
      <c r="R117" s="51"/>
      <c r="S117" s="51"/>
      <c r="T117" s="51"/>
      <c r="U117" s="52"/>
      <c r="V117" s="53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</row>
    <row r="118" ht="15.75" customHeight="1">
      <c r="A118" s="59"/>
      <c r="B118" s="38"/>
      <c r="C118" s="60"/>
      <c r="D118" s="38"/>
      <c r="E118" s="61"/>
      <c r="F118" s="52"/>
      <c r="G118" s="62"/>
      <c r="H118" s="62"/>
      <c r="I118" s="45"/>
      <c r="J118" s="45"/>
      <c r="K118" s="45"/>
      <c r="L118" s="48"/>
      <c r="M118" s="45"/>
      <c r="N118" s="48"/>
      <c r="O118" s="49" t="str">
        <f t="shared" si="2"/>
        <v/>
      </c>
      <c r="P118" s="45"/>
      <c r="Q118" s="48"/>
      <c r="R118" s="51"/>
      <c r="S118" s="51"/>
      <c r="T118" s="51"/>
      <c r="U118" s="52"/>
      <c r="V118" s="53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</row>
    <row r="119" ht="15.75" customHeight="1">
      <c r="A119" s="59"/>
      <c r="B119" s="38"/>
      <c r="C119" s="60"/>
      <c r="D119" s="38"/>
      <c r="E119" s="61"/>
      <c r="F119" s="52"/>
      <c r="G119" s="62"/>
      <c r="H119" s="62"/>
      <c r="I119" s="45"/>
      <c r="J119" s="45"/>
      <c r="K119" s="45"/>
      <c r="L119" s="48"/>
      <c r="M119" s="45"/>
      <c r="N119" s="48"/>
      <c r="O119" s="49" t="str">
        <f t="shared" si="2"/>
        <v/>
      </c>
      <c r="P119" s="45"/>
      <c r="Q119" s="48"/>
      <c r="R119" s="51"/>
      <c r="S119" s="51"/>
      <c r="T119" s="51"/>
      <c r="U119" s="52"/>
      <c r="V119" s="53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</row>
    <row r="120" ht="15.75" customHeight="1">
      <c r="A120" s="59"/>
      <c r="B120" s="38"/>
      <c r="C120" s="60"/>
      <c r="D120" s="38"/>
      <c r="E120" s="61"/>
      <c r="F120" s="52"/>
      <c r="G120" s="62"/>
      <c r="H120" s="62"/>
      <c r="I120" s="45"/>
      <c r="J120" s="45"/>
      <c r="K120" s="45"/>
      <c r="L120" s="48"/>
      <c r="M120" s="45"/>
      <c r="N120" s="48"/>
      <c r="O120" s="49" t="str">
        <f t="shared" si="2"/>
        <v/>
      </c>
      <c r="P120" s="45"/>
      <c r="Q120" s="48"/>
      <c r="R120" s="51"/>
      <c r="S120" s="51"/>
      <c r="T120" s="51"/>
      <c r="U120" s="52"/>
      <c r="V120" s="53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</row>
    <row r="121" ht="15.75" customHeight="1">
      <c r="A121" s="59"/>
      <c r="B121" s="38"/>
      <c r="C121" s="60"/>
      <c r="D121" s="38"/>
      <c r="E121" s="61"/>
      <c r="F121" s="52"/>
      <c r="G121" s="62"/>
      <c r="H121" s="62"/>
      <c r="I121" s="45"/>
      <c r="J121" s="45"/>
      <c r="K121" s="45"/>
      <c r="L121" s="48"/>
      <c r="M121" s="45"/>
      <c r="N121" s="48"/>
      <c r="O121" s="49" t="str">
        <f t="shared" si="2"/>
        <v/>
      </c>
      <c r="P121" s="45"/>
      <c r="Q121" s="48"/>
      <c r="R121" s="51"/>
      <c r="S121" s="51"/>
      <c r="T121" s="51"/>
      <c r="U121" s="52"/>
      <c r="V121" s="53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</row>
    <row r="122" ht="15.75" customHeight="1">
      <c r="A122" s="59"/>
      <c r="B122" s="38"/>
      <c r="C122" s="60"/>
      <c r="D122" s="38"/>
      <c r="E122" s="61"/>
      <c r="F122" s="52"/>
      <c r="G122" s="62"/>
      <c r="H122" s="62"/>
      <c r="I122" s="45"/>
      <c r="J122" s="45"/>
      <c r="K122" s="45"/>
      <c r="L122" s="48"/>
      <c r="M122" s="45"/>
      <c r="N122" s="48"/>
      <c r="O122" s="49" t="str">
        <f t="shared" si="2"/>
        <v/>
      </c>
      <c r="P122" s="45"/>
      <c r="Q122" s="48"/>
      <c r="R122" s="51"/>
      <c r="S122" s="51"/>
      <c r="T122" s="51"/>
      <c r="U122" s="52"/>
      <c r="V122" s="53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</row>
    <row r="123" ht="15.75" customHeight="1">
      <c r="A123" s="59"/>
      <c r="B123" s="38"/>
      <c r="C123" s="60"/>
      <c r="D123" s="38"/>
      <c r="E123" s="61"/>
      <c r="F123" s="52"/>
      <c r="G123" s="62"/>
      <c r="H123" s="62"/>
      <c r="I123" s="45"/>
      <c r="J123" s="45"/>
      <c r="K123" s="45"/>
      <c r="L123" s="48"/>
      <c r="M123" s="45"/>
      <c r="N123" s="48"/>
      <c r="O123" s="49" t="str">
        <f t="shared" si="2"/>
        <v/>
      </c>
      <c r="P123" s="45"/>
      <c r="Q123" s="48"/>
      <c r="R123" s="51"/>
      <c r="S123" s="51"/>
      <c r="T123" s="51"/>
      <c r="U123" s="52"/>
      <c r="V123" s="53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</row>
    <row r="124" ht="15.75" customHeight="1">
      <c r="A124" s="59"/>
      <c r="B124" s="38"/>
      <c r="C124" s="60"/>
      <c r="D124" s="38"/>
      <c r="E124" s="61"/>
      <c r="F124" s="52"/>
      <c r="G124" s="62"/>
      <c r="H124" s="62"/>
      <c r="I124" s="45"/>
      <c r="J124" s="45"/>
      <c r="K124" s="45"/>
      <c r="L124" s="48"/>
      <c r="M124" s="45"/>
      <c r="N124" s="48"/>
      <c r="O124" s="49" t="str">
        <f t="shared" si="2"/>
        <v/>
      </c>
      <c r="P124" s="45"/>
      <c r="Q124" s="48"/>
      <c r="R124" s="51"/>
      <c r="S124" s="51"/>
      <c r="T124" s="51"/>
      <c r="U124" s="52"/>
      <c r="V124" s="53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</row>
    <row r="125" ht="15.75" customHeight="1">
      <c r="A125" s="59"/>
      <c r="B125" s="38"/>
      <c r="C125" s="60"/>
      <c r="D125" s="38"/>
      <c r="E125" s="61"/>
      <c r="F125" s="52"/>
      <c r="G125" s="62"/>
      <c r="H125" s="62"/>
      <c r="I125" s="45"/>
      <c r="J125" s="45"/>
      <c r="K125" s="45"/>
      <c r="L125" s="48"/>
      <c r="M125" s="45"/>
      <c r="N125" s="48"/>
      <c r="O125" s="49" t="str">
        <f t="shared" si="2"/>
        <v/>
      </c>
      <c r="P125" s="45"/>
      <c r="Q125" s="48"/>
      <c r="R125" s="51"/>
      <c r="S125" s="51"/>
      <c r="T125" s="51"/>
      <c r="U125" s="52"/>
      <c r="V125" s="53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</row>
    <row r="126" ht="15.75" customHeight="1">
      <c r="A126" s="59"/>
      <c r="B126" s="38"/>
      <c r="C126" s="60"/>
      <c r="D126" s="38"/>
      <c r="E126" s="61"/>
      <c r="F126" s="52"/>
      <c r="G126" s="62"/>
      <c r="H126" s="62"/>
      <c r="I126" s="45"/>
      <c r="J126" s="45"/>
      <c r="K126" s="45"/>
      <c r="L126" s="48"/>
      <c r="M126" s="45"/>
      <c r="N126" s="48"/>
      <c r="O126" s="49" t="str">
        <f t="shared" si="2"/>
        <v/>
      </c>
      <c r="P126" s="45"/>
      <c r="Q126" s="48"/>
      <c r="R126" s="51"/>
      <c r="S126" s="51"/>
      <c r="T126" s="51"/>
      <c r="U126" s="52"/>
      <c r="V126" s="53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</row>
    <row r="127" ht="15.75" customHeight="1">
      <c r="A127" s="59"/>
      <c r="B127" s="38"/>
      <c r="C127" s="60"/>
      <c r="D127" s="38"/>
      <c r="E127" s="61"/>
      <c r="F127" s="52"/>
      <c r="G127" s="62"/>
      <c r="H127" s="62"/>
      <c r="I127" s="45"/>
      <c r="J127" s="45"/>
      <c r="K127" s="45"/>
      <c r="L127" s="48"/>
      <c r="M127" s="45"/>
      <c r="N127" s="48"/>
      <c r="O127" s="49" t="str">
        <f t="shared" si="2"/>
        <v/>
      </c>
      <c r="P127" s="45"/>
      <c r="Q127" s="48"/>
      <c r="R127" s="51"/>
      <c r="S127" s="51"/>
      <c r="T127" s="51"/>
      <c r="U127" s="52"/>
      <c r="V127" s="53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</row>
    <row r="128" ht="15.75" customHeight="1">
      <c r="A128" s="59"/>
      <c r="B128" s="38"/>
      <c r="C128" s="60"/>
      <c r="D128" s="38"/>
      <c r="E128" s="61"/>
      <c r="F128" s="52"/>
      <c r="G128" s="62"/>
      <c r="H128" s="62"/>
      <c r="I128" s="45"/>
      <c r="J128" s="45"/>
      <c r="K128" s="45"/>
      <c r="L128" s="48"/>
      <c r="M128" s="45"/>
      <c r="N128" s="48"/>
      <c r="O128" s="49" t="str">
        <f t="shared" si="2"/>
        <v/>
      </c>
      <c r="P128" s="45"/>
      <c r="Q128" s="48"/>
      <c r="R128" s="51"/>
      <c r="S128" s="51"/>
      <c r="T128" s="51"/>
      <c r="U128" s="52"/>
      <c r="V128" s="53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</row>
    <row r="129" ht="15.75" customHeight="1">
      <c r="A129" s="59"/>
      <c r="B129" s="38"/>
      <c r="C129" s="60"/>
      <c r="D129" s="38"/>
      <c r="E129" s="61"/>
      <c r="F129" s="52"/>
      <c r="G129" s="62"/>
      <c r="H129" s="62"/>
      <c r="I129" s="45"/>
      <c r="J129" s="45"/>
      <c r="K129" s="45"/>
      <c r="L129" s="48"/>
      <c r="M129" s="45"/>
      <c r="N129" s="48"/>
      <c r="O129" s="49" t="str">
        <f t="shared" si="2"/>
        <v/>
      </c>
      <c r="P129" s="45"/>
      <c r="Q129" s="48"/>
      <c r="R129" s="51"/>
      <c r="S129" s="51"/>
      <c r="T129" s="51"/>
      <c r="U129" s="52"/>
      <c r="V129" s="53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</row>
    <row r="130" ht="15.75" customHeight="1">
      <c r="A130" s="59"/>
      <c r="B130" s="38"/>
      <c r="C130" s="60"/>
      <c r="D130" s="38"/>
      <c r="E130" s="61"/>
      <c r="F130" s="52"/>
      <c r="G130" s="62"/>
      <c r="H130" s="62"/>
      <c r="I130" s="45"/>
      <c r="J130" s="45"/>
      <c r="K130" s="45"/>
      <c r="L130" s="48"/>
      <c r="M130" s="45"/>
      <c r="N130" s="48"/>
      <c r="O130" s="49" t="str">
        <f t="shared" si="2"/>
        <v/>
      </c>
      <c r="P130" s="45"/>
      <c r="Q130" s="48"/>
      <c r="R130" s="51"/>
      <c r="S130" s="51"/>
      <c r="T130" s="51"/>
      <c r="U130" s="52"/>
      <c r="V130" s="53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</row>
    <row r="131" ht="15.75" customHeight="1">
      <c r="A131" s="59"/>
      <c r="B131" s="38"/>
      <c r="C131" s="60"/>
      <c r="D131" s="38"/>
      <c r="E131" s="61"/>
      <c r="F131" s="52"/>
      <c r="G131" s="62"/>
      <c r="H131" s="62"/>
      <c r="I131" s="45"/>
      <c r="J131" s="45"/>
      <c r="K131" s="45"/>
      <c r="L131" s="48"/>
      <c r="M131" s="45"/>
      <c r="N131" s="48"/>
      <c r="O131" s="49" t="str">
        <f t="shared" si="2"/>
        <v/>
      </c>
      <c r="P131" s="45"/>
      <c r="Q131" s="48"/>
      <c r="R131" s="51"/>
      <c r="S131" s="51"/>
      <c r="T131" s="51"/>
      <c r="U131" s="52"/>
      <c r="V131" s="53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</row>
    <row r="132" ht="15.75" customHeight="1">
      <c r="A132" s="59"/>
      <c r="B132" s="38"/>
      <c r="C132" s="60"/>
      <c r="D132" s="38"/>
      <c r="E132" s="61"/>
      <c r="F132" s="52"/>
      <c r="G132" s="62"/>
      <c r="H132" s="62"/>
      <c r="I132" s="45"/>
      <c r="J132" s="45"/>
      <c r="K132" s="45"/>
      <c r="L132" s="48"/>
      <c r="M132" s="45"/>
      <c r="N132" s="48"/>
      <c r="O132" s="49" t="str">
        <f t="shared" si="2"/>
        <v/>
      </c>
      <c r="P132" s="45"/>
      <c r="Q132" s="48"/>
      <c r="R132" s="51"/>
      <c r="S132" s="51"/>
      <c r="T132" s="51"/>
      <c r="U132" s="52"/>
      <c r="V132" s="53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</row>
    <row r="133" ht="15.75" customHeight="1">
      <c r="A133" s="59"/>
      <c r="B133" s="38"/>
      <c r="C133" s="60"/>
      <c r="D133" s="38"/>
      <c r="E133" s="61"/>
      <c r="F133" s="52"/>
      <c r="G133" s="62"/>
      <c r="H133" s="62"/>
      <c r="I133" s="45"/>
      <c r="J133" s="45"/>
      <c r="K133" s="45"/>
      <c r="L133" s="48"/>
      <c r="M133" s="45"/>
      <c r="N133" s="48"/>
      <c r="O133" s="49" t="str">
        <f t="shared" si="2"/>
        <v/>
      </c>
      <c r="P133" s="45"/>
      <c r="Q133" s="48"/>
      <c r="R133" s="51"/>
      <c r="S133" s="51"/>
      <c r="T133" s="51"/>
      <c r="U133" s="52"/>
      <c r="V133" s="53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</row>
    <row r="134" ht="15.75" customHeight="1">
      <c r="A134" s="59"/>
      <c r="B134" s="38"/>
      <c r="C134" s="60"/>
      <c r="D134" s="38"/>
      <c r="E134" s="61"/>
      <c r="F134" s="52"/>
      <c r="G134" s="62"/>
      <c r="H134" s="62"/>
      <c r="I134" s="45"/>
      <c r="J134" s="45"/>
      <c r="K134" s="45"/>
      <c r="L134" s="48"/>
      <c r="M134" s="45"/>
      <c r="N134" s="48"/>
      <c r="O134" s="49" t="str">
        <f t="shared" si="2"/>
        <v/>
      </c>
      <c r="P134" s="45"/>
      <c r="Q134" s="48"/>
      <c r="R134" s="51"/>
      <c r="S134" s="51"/>
      <c r="T134" s="51"/>
      <c r="U134" s="52"/>
      <c r="V134" s="53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</row>
    <row r="135" ht="15.75" customHeight="1">
      <c r="A135" s="59"/>
      <c r="B135" s="38"/>
      <c r="C135" s="60"/>
      <c r="D135" s="38"/>
      <c r="E135" s="61"/>
      <c r="F135" s="52"/>
      <c r="G135" s="62"/>
      <c r="H135" s="62"/>
      <c r="I135" s="45"/>
      <c r="J135" s="45"/>
      <c r="K135" s="45"/>
      <c r="L135" s="48"/>
      <c r="M135" s="45"/>
      <c r="N135" s="48"/>
      <c r="O135" s="49" t="str">
        <f t="shared" si="2"/>
        <v/>
      </c>
      <c r="P135" s="45"/>
      <c r="Q135" s="48"/>
      <c r="R135" s="51"/>
      <c r="S135" s="51"/>
      <c r="T135" s="51"/>
      <c r="U135" s="52"/>
      <c r="V135" s="53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</row>
    <row r="136" ht="15.75" customHeight="1">
      <c r="A136" s="59"/>
      <c r="B136" s="38"/>
      <c r="C136" s="60"/>
      <c r="D136" s="38"/>
      <c r="E136" s="61"/>
      <c r="F136" s="52"/>
      <c r="G136" s="62"/>
      <c r="H136" s="62"/>
      <c r="I136" s="45"/>
      <c r="J136" s="45"/>
      <c r="K136" s="45"/>
      <c r="L136" s="48"/>
      <c r="M136" s="45"/>
      <c r="N136" s="48"/>
      <c r="O136" s="49" t="str">
        <f t="shared" si="2"/>
        <v/>
      </c>
      <c r="P136" s="45"/>
      <c r="Q136" s="48"/>
      <c r="R136" s="51"/>
      <c r="S136" s="51"/>
      <c r="T136" s="51"/>
      <c r="U136" s="52"/>
      <c r="V136" s="53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</row>
    <row r="137" ht="15.75" customHeight="1">
      <c r="A137" s="59"/>
      <c r="B137" s="38"/>
      <c r="C137" s="60"/>
      <c r="D137" s="38"/>
      <c r="E137" s="61"/>
      <c r="F137" s="52"/>
      <c r="G137" s="62"/>
      <c r="H137" s="62"/>
      <c r="I137" s="45"/>
      <c r="J137" s="45"/>
      <c r="K137" s="45"/>
      <c r="L137" s="48"/>
      <c r="M137" s="45"/>
      <c r="N137" s="48"/>
      <c r="O137" s="49" t="str">
        <f t="shared" si="2"/>
        <v/>
      </c>
      <c r="P137" s="45"/>
      <c r="Q137" s="48"/>
      <c r="R137" s="51"/>
      <c r="S137" s="51"/>
      <c r="T137" s="51"/>
      <c r="U137" s="52"/>
      <c r="V137" s="53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</row>
    <row r="138" ht="15.75" customHeight="1">
      <c r="A138" s="59"/>
      <c r="B138" s="38"/>
      <c r="C138" s="60"/>
      <c r="D138" s="38"/>
      <c r="E138" s="61"/>
      <c r="F138" s="52"/>
      <c r="G138" s="62"/>
      <c r="H138" s="62"/>
      <c r="I138" s="45"/>
      <c r="J138" s="45"/>
      <c r="K138" s="45"/>
      <c r="L138" s="48"/>
      <c r="M138" s="45"/>
      <c r="N138" s="48"/>
      <c r="O138" s="49" t="str">
        <f t="shared" si="2"/>
        <v/>
      </c>
      <c r="P138" s="45"/>
      <c r="Q138" s="48"/>
      <c r="R138" s="51"/>
      <c r="S138" s="51"/>
      <c r="T138" s="51"/>
      <c r="U138" s="52"/>
      <c r="V138" s="53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</row>
    <row r="139" ht="15.75" customHeight="1">
      <c r="A139" s="59"/>
      <c r="B139" s="38"/>
      <c r="C139" s="60"/>
      <c r="D139" s="38"/>
      <c r="E139" s="61"/>
      <c r="F139" s="52"/>
      <c r="G139" s="62"/>
      <c r="H139" s="62"/>
      <c r="I139" s="45"/>
      <c r="J139" s="45"/>
      <c r="K139" s="45"/>
      <c r="L139" s="48"/>
      <c r="M139" s="45"/>
      <c r="N139" s="48"/>
      <c r="O139" s="49" t="str">
        <f t="shared" si="2"/>
        <v/>
      </c>
      <c r="P139" s="45"/>
      <c r="Q139" s="48"/>
      <c r="R139" s="51"/>
      <c r="S139" s="51"/>
      <c r="T139" s="51"/>
      <c r="U139" s="52"/>
      <c r="V139" s="53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</row>
    <row r="140" ht="15.75" customHeight="1">
      <c r="A140" s="59"/>
      <c r="B140" s="38"/>
      <c r="C140" s="60"/>
      <c r="D140" s="38"/>
      <c r="E140" s="61"/>
      <c r="F140" s="52"/>
      <c r="G140" s="62"/>
      <c r="H140" s="62"/>
      <c r="I140" s="45"/>
      <c r="J140" s="45"/>
      <c r="K140" s="45"/>
      <c r="L140" s="48"/>
      <c r="M140" s="45"/>
      <c r="N140" s="48"/>
      <c r="O140" s="49" t="str">
        <f t="shared" si="2"/>
        <v/>
      </c>
      <c r="P140" s="45"/>
      <c r="Q140" s="48"/>
      <c r="R140" s="51"/>
      <c r="S140" s="51"/>
      <c r="T140" s="51"/>
      <c r="U140" s="52"/>
      <c r="V140" s="53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</row>
    <row r="141" ht="15.75" customHeight="1">
      <c r="A141" s="59"/>
      <c r="B141" s="38"/>
      <c r="C141" s="60"/>
      <c r="D141" s="38"/>
      <c r="E141" s="61"/>
      <c r="F141" s="52"/>
      <c r="G141" s="62"/>
      <c r="H141" s="62"/>
      <c r="I141" s="45"/>
      <c r="J141" s="45"/>
      <c r="K141" s="45"/>
      <c r="L141" s="48"/>
      <c r="M141" s="45"/>
      <c r="N141" s="48"/>
      <c r="O141" s="49" t="str">
        <f t="shared" si="2"/>
        <v/>
      </c>
      <c r="P141" s="45"/>
      <c r="Q141" s="48"/>
      <c r="R141" s="51"/>
      <c r="S141" s="51"/>
      <c r="T141" s="51"/>
      <c r="U141" s="52"/>
      <c r="V141" s="53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</row>
    <row r="142" ht="15.75" customHeight="1">
      <c r="A142" s="59"/>
      <c r="B142" s="38"/>
      <c r="C142" s="60"/>
      <c r="D142" s="38"/>
      <c r="E142" s="61"/>
      <c r="F142" s="52"/>
      <c r="G142" s="62"/>
      <c r="H142" s="62"/>
      <c r="I142" s="45"/>
      <c r="J142" s="45"/>
      <c r="K142" s="45"/>
      <c r="L142" s="48"/>
      <c r="M142" s="45"/>
      <c r="N142" s="48"/>
      <c r="O142" s="49" t="str">
        <f t="shared" si="2"/>
        <v/>
      </c>
      <c r="P142" s="45"/>
      <c r="Q142" s="48"/>
      <c r="R142" s="51"/>
      <c r="S142" s="51"/>
      <c r="T142" s="51"/>
      <c r="U142" s="52"/>
      <c r="V142" s="53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</row>
    <row r="143" ht="15.75" customHeight="1">
      <c r="A143" s="59"/>
      <c r="B143" s="38"/>
      <c r="C143" s="60"/>
      <c r="D143" s="38"/>
      <c r="E143" s="61"/>
      <c r="F143" s="52"/>
      <c r="G143" s="62"/>
      <c r="H143" s="62"/>
      <c r="I143" s="45"/>
      <c r="J143" s="45"/>
      <c r="K143" s="45"/>
      <c r="L143" s="48"/>
      <c r="M143" s="45"/>
      <c r="N143" s="48"/>
      <c r="O143" s="49" t="str">
        <f t="shared" si="2"/>
        <v/>
      </c>
      <c r="P143" s="45"/>
      <c r="Q143" s="48"/>
      <c r="R143" s="51"/>
      <c r="S143" s="51"/>
      <c r="T143" s="51"/>
      <c r="U143" s="52"/>
      <c r="V143" s="53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</row>
    <row r="144" ht="15.75" customHeight="1">
      <c r="A144" s="59"/>
      <c r="B144" s="38"/>
      <c r="C144" s="60"/>
      <c r="D144" s="38"/>
      <c r="E144" s="61"/>
      <c r="F144" s="52"/>
      <c r="G144" s="62"/>
      <c r="H144" s="62"/>
      <c r="I144" s="45"/>
      <c r="J144" s="45"/>
      <c r="K144" s="45"/>
      <c r="L144" s="48"/>
      <c r="M144" s="45"/>
      <c r="N144" s="48"/>
      <c r="O144" s="49" t="str">
        <f t="shared" si="2"/>
        <v/>
      </c>
      <c r="P144" s="45"/>
      <c r="Q144" s="48"/>
      <c r="R144" s="51"/>
      <c r="S144" s="51"/>
      <c r="T144" s="51"/>
      <c r="U144" s="52"/>
      <c r="V144" s="53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</row>
    <row r="145" ht="15.75" customHeight="1">
      <c r="A145" s="59"/>
      <c r="B145" s="38"/>
      <c r="C145" s="60"/>
      <c r="D145" s="38"/>
      <c r="E145" s="61"/>
      <c r="F145" s="52"/>
      <c r="G145" s="62"/>
      <c r="H145" s="62"/>
      <c r="I145" s="45"/>
      <c r="J145" s="45"/>
      <c r="K145" s="45"/>
      <c r="L145" s="48"/>
      <c r="M145" s="45"/>
      <c r="N145" s="48"/>
      <c r="O145" s="49" t="str">
        <f t="shared" si="2"/>
        <v/>
      </c>
      <c r="P145" s="45"/>
      <c r="Q145" s="48"/>
      <c r="R145" s="51"/>
      <c r="S145" s="51"/>
      <c r="T145" s="51"/>
      <c r="U145" s="52"/>
      <c r="V145" s="53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</row>
    <row r="146" ht="15.75" customHeight="1">
      <c r="A146" s="59"/>
      <c r="B146" s="38"/>
      <c r="C146" s="60"/>
      <c r="D146" s="38"/>
      <c r="E146" s="61"/>
      <c r="F146" s="52"/>
      <c r="G146" s="62"/>
      <c r="H146" s="62"/>
      <c r="I146" s="45"/>
      <c r="J146" s="45"/>
      <c r="K146" s="45"/>
      <c r="L146" s="48"/>
      <c r="M146" s="45"/>
      <c r="N146" s="48"/>
      <c r="O146" s="49" t="str">
        <f t="shared" si="2"/>
        <v/>
      </c>
      <c r="P146" s="45"/>
      <c r="Q146" s="48"/>
      <c r="R146" s="51"/>
      <c r="S146" s="51"/>
      <c r="T146" s="51"/>
      <c r="U146" s="52"/>
      <c r="V146" s="53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</row>
    <row r="147" ht="15.75" customHeight="1">
      <c r="A147" s="59"/>
      <c r="B147" s="38"/>
      <c r="C147" s="60"/>
      <c r="D147" s="38"/>
      <c r="E147" s="61"/>
      <c r="F147" s="52"/>
      <c r="G147" s="62"/>
      <c r="H147" s="62"/>
      <c r="I147" s="45"/>
      <c r="J147" s="45"/>
      <c r="K147" s="45"/>
      <c r="L147" s="48"/>
      <c r="M147" s="45"/>
      <c r="N147" s="48"/>
      <c r="O147" s="49" t="str">
        <f t="shared" si="2"/>
        <v/>
      </c>
      <c r="P147" s="45"/>
      <c r="Q147" s="48"/>
      <c r="R147" s="51"/>
      <c r="S147" s="51"/>
      <c r="T147" s="51"/>
      <c r="U147" s="52"/>
      <c r="V147" s="53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</row>
    <row r="148" ht="15.75" customHeight="1">
      <c r="A148" s="59"/>
      <c r="B148" s="38"/>
      <c r="C148" s="60"/>
      <c r="D148" s="38"/>
      <c r="E148" s="61"/>
      <c r="F148" s="52"/>
      <c r="G148" s="62"/>
      <c r="H148" s="62"/>
      <c r="I148" s="45"/>
      <c r="J148" s="45"/>
      <c r="K148" s="45"/>
      <c r="L148" s="48"/>
      <c r="M148" s="45"/>
      <c r="N148" s="48"/>
      <c r="O148" s="49" t="str">
        <f t="shared" si="2"/>
        <v/>
      </c>
      <c r="P148" s="45"/>
      <c r="Q148" s="48"/>
      <c r="R148" s="51"/>
      <c r="S148" s="51"/>
      <c r="T148" s="51"/>
      <c r="U148" s="52"/>
      <c r="V148" s="53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</row>
    <row r="149" ht="15.75" customHeight="1">
      <c r="A149" s="59"/>
      <c r="B149" s="38"/>
      <c r="C149" s="60"/>
      <c r="D149" s="38"/>
      <c r="E149" s="61"/>
      <c r="F149" s="52"/>
      <c r="G149" s="62"/>
      <c r="H149" s="62"/>
      <c r="I149" s="45"/>
      <c r="J149" s="45"/>
      <c r="K149" s="45"/>
      <c r="L149" s="48"/>
      <c r="M149" s="45"/>
      <c r="N149" s="48"/>
      <c r="O149" s="49" t="str">
        <f t="shared" si="2"/>
        <v/>
      </c>
      <c r="P149" s="45"/>
      <c r="Q149" s="48"/>
      <c r="R149" s="51"/>
      <c r="S149" s="51"/>
      <c r="T149" s="51"/>
      <c r="U149" s="52"/>
      <c r="V149" s="53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</row>
    <row r="150" ht="15.75" customHeight="1">
      <c r="A150" s="59"/>
      <c r="B150" s="38"/>
      <c r="C150" s="60"/>
      <c r="D150" s="38"/>
      <c r="E150" s="61"/>
      <c r="F150" s="52"/>
      <c r="G150" s="62"/>
      <c r="H150" s="62"/>
      <c r="I150" s="45"/>
      <c r="J150" s="45"/>
      <c r="K150" s="45"/>
      <c r="L150" s="48"/>
      <c r="M150" s="45"/>
      <c r="N150" s="48"/>
      <c r="O150" s="49" t="str">
        <f t="shared" si="2"/>
        <v/>
      </c>
      <c r="P150" s="45"/>
      <c r="Q150" s="48"/>
      <c r="R150" s="51"/>
      <c r="S150" s="51"/>
      <c r="T150" s="51"/>
      <c r="U150" s="52"/>
      <c r="V150" s="53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</row>
    <row r="151" ht="15.75" customHeight="1">
      <c r="A151" s="59"/>
      <c r="B151" s="38"/>
      <c r="C151" s="60"/>
      <c r="D151" s="38"/>
      <c r="E151" s="61"/>
      <c r="F151" s="52"/>
      <c r="G151" s="62"/>
      <c r="H151" s="62"/>
      <c r="I151" s="45"/>
      <c r="J151" s="45"/>
      <c r="K151" s="45"/>
      <c r="L151" s="48"/>
      <c r="M151" s="45"/>
      <c r="N151" s="48"/>
      <c r="O151" s="49" t="str">
        <f t="shared" si="2"/>
        <v/>
      </c>
      <c r="P151" s="45"/>
      <c r="Q151" s="48"/>
      <c r="R151" s="51"/>
      <c r="S151" s="51"/>
      <c r="T151" s="51"/>
      <c r="U151" s="52"/>
      <c r="V151" s="53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</row>
    <row r="152" ht="15.75" customHeight="1">
      <c r="A152" s="59"/>
      <c r="B152" s="38"/>
      <c r="C152" s="60"/>
      <c r="D152" s="38"/>
      <c r="E152" s="61"/>
      <c r="F152" s="52"/>
      <c r="G152" s="62"/>
      <c r="H152" s="62"/>
      <c r="I152" s="45"/>
      <c r="J152" s="45"/>
      <c r="K152" s="45"/>
      <c r="L152" s="48"/>
      <c r="M152" s="45"/>
      <c r="N152" s="48"/>
      <c r="O152" s="49" t="str">
        <f t="shared" si="2"/>
        <v/>
      </c>
      <c r="P152" s="45"/>
      <c r="Q152" s="48"/>
      <c r="R152" s="51"/>
      <c r="S152" s="51"/>
      <c r="T152" s="51"/>
      <c r="U152" s="52"/>
      <c r="V152" s="53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</row>
    <row r="153" ht="15.75" customHeight="1">
      <c r="A153" s="59"/>
      <c r="B153" s="38"/>
      <c r="C153" s="60"/>
      <c r="D153" s="38"/>
      <c r="E153" s="61"/>
      <c r="F153" s="52"/>
      <c r="G153" s="62"/>
      <c r="H153" s="62"/>
      <c r="I153" s="45"/>
      <c r="J153" s="45"/>
      <c r="K153" s="45"/>
      <c r="L153" s="48"/>
      <c r="M153" s="45"/>
      <c r="N153" s="48"/>
      <c r="O153" s="49" t="str">
        <f t="shared" si="2"/>
        <v/>
      </c>
      <c r="P153" s="45"/>
      <c r="Q153" s="48"/>
      <c r="R153" s="51"/>
      <c r="S153" s="51"/>
      <c r="T153" s="51"/>
      <c r="U153" s="52"/>
      <c r="V153" s="53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</row>
    <row r="154" ht="15.75" customHeight="1">
      <c r="A154" s="59"/>
      <c r="B154" s="38"/>
      <c r="C154" s="60"/>
      <c r="D154" s="38"/>
      <c r="E154" s="61"/>
      <c r="F154" s="52"/>
      <c r="G154" s="62"/>
      <c r="H154" s="62"/>
      <c r="I154" s="45"/>
      <c r="J154" s="45"/>
      <c r="K154" s="45"/>
      <c r="L154" s="48"/>
      <c r="M154" s="45"/>
      <c r="N154" s="48"/>
      <c r="O154" s="49" t="str">
        <f t="shared" si="2"/>
        <v/>
      </c>
      <c r="P154" s="45"/>
      <c r="Q154" s="48"/>
      <c r="R154" s="51"/>
      <c r="S154" s="51"/>
      <c r="T154" s="51"/>
      <c r="U154" s="52"/>
      <c r="V154" s="53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</row>
    <row r="155" ht="15.75" customHeight="1">
      <c r="A155" s="59"/>
      <c r="B155" s="38"/>
      <c r="C155" s="60"/>
      <c r="D155" s="38"/>
      <c r="E155" s="61"/>
      <c r="F155" s="52"/>
      <c r="G155" s="62"/>
      <c r="H155" s="62"/>
      <c r="I155" s="45"/>
      <c r="J155" s="45"/>
      <c r="K155" s="45"/>
      <c r="L155" s="48"/>
      <c r="M155" s="45"/>
      <c r="N155" s="48"/>
      <c r="O155" s="49" t="str">
        <f t="shared" si="2"/>
        <v/>
      </c>
      <c r="P155" s="45"/>
      <c r="Q155" s="48"/>
      <c r="R155" s="51"/>
      <c r="S155" s="51"/>
      <c r="T155" s="51"/>
      <c r="U155" s="52"/>
      <c r="V155" s="53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</row>
    <row r="156" ht="15.75" customHeight="1">
      <c r="A156" s="59"/>
      <c r="B156" s="38"/>
      <c r="C156" s="60"/>
      <c r="D156" s="38"/>
      <c r="E156" s="61"/>
      <c r="F156" s="52"/>
      <c r="G156" s="62"/>
      <c r="H156" s="62"/>
      <c r="I156" s="45"/>
      <c r="J156" s="45"/>
      <c r="K156" s="45"/>
      <c r="L156" s="48"/>
      <c r="M156" s="45"/>
      <c r="N156" s="48"/>
      <c r="O156" s="49" t="str">
        <f t="shared" si="2"/>
        <v/>
      </c>
      <c r="P156" s="45"/>
      <c r="Q156" s="48"/>
      <c r="R156" s="51"/>
      <c r="S156" s="51"/>
      <c r="T156" s="51"/>
      <c r="U156" s="52"/>
      <c r="V156" s="53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</row>
    <row r="157" ht="15.75" customHeight="1">
      <c r="A157" s="59"/>
      <c r="B157" s="38"/>
      <c r="C157" s="60"/>
      <c r="D157" s="38"/>
      <c r="E157" s="61"/>
      <c r="F157" s="52"/>
      <c r="G157" s="62"/>
      <c r="H157" s="62"/>
      <c r="I157" s="45"/>
      <c r="J157" s="45"/>
      <c r="K157" s="45"/>
      <c r="L157" s="48"/>
      <c r="M157" s="45"/>
      <c r="N157" s="48"/>
      <c r="O157" s="49" t="str">
        <f t="shared" si="2"/>
        <v/>
      </c>
      <c r="P157" s="45"/>
      <c r="Q157" s="48"/>
      <c r="R157" s="51"/>
      <c r="S157" s="51"/>
      <c r="T157" s="51"/>
      <c r="U157" s="52"/>
      <c r="V157" s="53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</row>
    <row r="158" ht="15.75" customHeight="1">
      <c r="A158" s="59"/>
      <c r="B158" s="38"/>
      <c r="C158" s="60"/>
      <c r="D158" s="38"/>
      <c r="E158" s="61"/>
      <c r="F158" s="52"/>
      <c r="G158" s="62"/>
      <c r="H158" s="62"/>
      <c r="I158" s="45"/>
      <c r="J158" s="45"/>
      <c r="K158" s="45"/>
      <c r="L158" s="48"/>
      <c r="M158" s="45"/>
      <c r="N158" s="48"/>
      <c r="O158" s="49" t="str">
        <f t="shared" si="2"/>
        <v/>
      </c>
      <c r="P158" s="45"/>
      <c r="Q158" s="48"/>
      <c r="R158" s="51"/>
      <c r="S158" s="51"/>
      <c r="T158" s="51"/>
      <c r="U158" s="52"/>
      <c r="V158" s="53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</row>
    <row r="159" ht="15.75" customHeight="1">
      <c r="A159" s="59"/>
      <c r="B159" s="38"/>
      <c r="C159" s="60"/>
      <c r="D159" s="38"/>
      <c r="E159" s="61"/>
      <c r="F159" s="52"/>
      <c r="G159" s="62"/>
      <c r="H159" s="62"/>
      <c r="I159" s="45"/>
      <c r="J159" s="45"/>
      <c r="K159" s="45"/>
      <c r="L159" s="48"/>
      <c r="M159" s="45"/>
      <c r="N159" s="48"/>
      <c r="O159" s="49" t="str">
        <f t="shared" si="2"/>
        <v/>
      </c>
      <c r="P159" s="45"/>
      <c r="Q159" s="48"/>
      <c r="R159" s="51"/>
      <c r="S159" s="51"/>
      <c r="T159" s="51"/>
      <c r="U159" s="52"/>
      <c r="V159" s="53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</row>
    <row r="160" ht="15.75" customHeight="1">
      <c r="A160" s="59"/>
      <c r="B160" s="38"/>
      <c r="C160" s="60"/>
      <c r="D160" s="38"/>
      <c r="E160" s="61"/>
      <c r="F160" s="52"/>
      <c r="G160" s="62"/>
      <c r="H160" s="62"/>
      <c r="I160" s="45"/>
      <c r="J160" s="45"/>
      <c r="K160" s="45"/>
      <c r="L160" s="48"/>
      <c r="M160" s="45"/>
      <c r="N160" s="48"/>
      <c r="O160" s="49" t="str">
        <f t="shared" si="2"/>
        <v/>
      </c>
      <c r="P160" s="45"/>
      <c r="Q160" s="48"/>
      <c r="R160" s="51"/>
      <c r="S160" s="51"/>
      <c r="T160" s="51"/>
      <c r="U160" s="52"/>
      <c r="V160" s="53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</row>
    <row r="161" ht="15.75" customHeight="1">
      <c r="A161" s="59"/>
      <c r="B161" s="38"/>
      <c r="C161" s="60"/>
      <c r="D161" s="38"/>
      <c r="E161" s="61"/>
      <c r="F161" s="52"/>
      <c r="G161" s="62"/>
      <c r="H161" s="62"/>
      <c r="I161" s="45"/>
      <c r="J161" s="45"/>
      <c r="K161" s="45"/>
      <c r="L161" s="48"/>
      <c r="M161" s="45"/>
      <c r="N161" s="48"/>
      <c r="O161" s="49" t="str">
        <f t="shared" si="2"/>
        <v/>
      </c>
      <c r="P161" s="45"/>
      <c r="Q161" s="48"/>
      <c r="R161" s="51"/>
      <c r="S161" s="51"/>
      <c r="T161" s="51"/>
      <c r="U161" s="52"/>
      <c r="V161" s="53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</row>
    <row r="162" ht="15.75" customHeight="1">
      <c r="A162" s="59"/>
      <c r="B162" s="38"/>
      <c r="C162" s="60"/>
      <c r="D162" s="38"/>
      <c r="E162" s="61"/>
      <c r="F162" s="52"/>
      <c r="G162" s="62"/>
      <c r="H162" s="62"/>
      <c r="I162" s="45"/>
      <c r="J162" s="45"/>
      <c r="K162" s="45"/>
      <c r="L162" s="48"/>
      <c r="M162" s="45"/>
      <c r="N162" s="48"/>
      <c r="O162" s="49" t="str">
        <f t="shared" si="2"/>
        <v/>
      </c>
      <c r="P162" s="45"/>
      <c r="Q162" s="48"/>
      <c r="R162" s="51"/>
      <c r="S162" s="51"/>
      <c r="T162" s="51"/>
      <c r="U162" s="52"/>
      <c r="V162" s="53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</row>
    <row r="163" ht="15.75" customHeight="1">
      <c r="A163" s="59"/>
      <c r="B163" s="38"/>
      <c r="C163" s="60"/>
      <c r="D163" s="38"/>
      <c r="E163" s="61"/>
      <c r="F163" s="52"/>
      <c r="G163" s="62"/>
      <c r="H163" s="62"/>
      <c r="I163" s="45"/>
      <c r="J163" s="45"/>
      <c r="K163" s="45"/>
      <c r="L163" s="48"/>
      <c r="M163" s="45"/>
      <c r="N163" s="48"/>
      <c r="O163" s="49" t="str">
        <f t="shared" si="2"/>
        <v/>
      </c>
      <c r="P163" s="45"/>
      <c r="Q163" s="48"/>
      <c r="R163" s="51"/>
      <c r="S163" s="51"/>
      <c r="T163" s="51"/>
      <c r="U163" s="52"/>
      <c r="V163" s="53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</row>
    <row r="164" ht="15.75" customHeight="1">
      <c r="A164" s="59"/>
      <c r="B164" s="38"/>
      <c r="C164" s="60"/>
      <c r="D164" s="38"/>
      <c r="E164" s="61"/>
      <c r="F164" s="52"/>
      <c r="G164" s="62"/>
      <c r="H164" s="62"/>
      <c r="I164" s="45"/>
      <c r="J164" s="45"/>
      <c r="K164" s="45"/>
      <c r="L164" s="48"/>
      <c r="M164" s="45"/>
      <c r="N164" s="48"/>
      <c r="O164" s="49" t="str">
        <f t="shared" si="2"/>
        <v/>
      </c>
      <c r="P164" s="45"/>
      <c r="Q164" s="48"/>
      <c r="R164" s="51"/>
      <c r="S164" s="51"/>
      <c r="T164" s="51"/>
      <c r="U164" s="52"/>
      <c r="V164" s="53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</row>
    <row r="165" ht="15.75" customHeight="1">
      <c r="A165" s="59"/>
      <c r="B165" s="38"/>
      <c r="C165" s="60"/>
      <c r="D165" s="38"/>
      <c r="E165" s="61"/>
      <c r="F165" s="52"/>
      <c r="G165" s="62"/>
      <c r="H165" s="62"/>
      <c r="I165" s="45"/>
      <c r="J165" s="45"/>
      <c r="K165" s="45"/>
      <c r="L165" s="48"/>
      <c r="M165" s="45"/>
      <c r="N165" s="48"/>
      <c r="O165" s="49" t="str">
        <f t="shared" si="2"/>
        <v/>
      </c>
      <c r="P165" s="45"/>
      <c r="Q165" s="48"/>
      <c r="R165" s="51"/>
      <c r="S165" s="51"/>
      <c r="T165" s="51"/>
      <c r="U165" s="52"/>
      <c r="V165" s="53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</row>
    <row r="166" ht="15.75" customHeight="1">
      <c r="A166" s="59"/>
      <c r="B166" s="38"/>
      <c r="C166" s="60"/>
      <c r="D166" s="38"/>
      <c r="E166" s="61"/>
      <c r="F166" s="52"/>
      <c r="G166" s="62"/>
      <c r="H166" s="62"/>
      <c r="I166" s="45"/>
      <c r="J166" s="45"/>
      <c r="K166" s="45"/>
      <c r="L166" s="48"/>
      <c r="M166" s="45"/>
      <c r="N166" s="48"/>
      <c r="O166" s="49" t="str">
        <f t="shared" si="2"/>
        <v/>
      </c>
      <c r="P166" s="45"/>
      <c r="Q166" s="48"/>
      <c r="R166" s="51"/>
      <c r="S166" s="51"/>
      <c r="T166" s="51"/>
      <c r="U166" s="52"/>
      <c r="V166" s="53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</row>
    <row r="167" ht="15.75" customHeight="1">
      <c r="A167" s="59"/>
      <c r="B167" s="38"/>
      <c r="C167" s="60"/>
      <c r="D167" s="38"/>
      <c r="E167" s="61"/>
      <c r="F167" s="52"/>
      <c r="G167" s="62"/>
      <c r="H167" s="62"/>
      <c r="I167" s="45"/>
      <c r="J167" s="45"/>
      <c r="K167" s="45"/>
      <c r="L167" s="48"/>
      <c r="M167" s="45"/>
      <c r="N167" s="48"/>
      <c r="O167" s="49" t="str">
        <f t="shared" si="2"/>
        <v/>
      </c>
      <c r="P167" s="45"/>
      <c r="Q167" s="48"/>
      <c r="R167" s="51"/>
      <c r="S167" s="51"/>
      <c r="T167" s="51"/>
      <c r="U167" s="52"/>
      <c r="V167" s="53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</row>
    <row r="168" ht="15.75" customHeight="1">
      <c r="A168" s="59"/>
      <c r="B168" s="38"/>
      <c r="C168" s="60"/>
      <c r="D168" s="38"/>
      <c r="E168" s="61"/>
      <c r="F168" s="52"/>
      <c r="G168" s="62"/>
      <c r="H168" s="62"/>
      <c r="I168" s="45"/>
      <c r="J168" s="45"/>
      <c r="K168" s="45"/>
      <c r="L168" s="48"/>
      <c r="M168" s="45"/>
      <c r="N168" s="48"/>
      <c r="O168" s="49" t="str">
        <f t="shared" si="2"/>
        <v/>
      </c>
      <c r="P168" s="45"/>
      <c r="Q168" s="48"/>
      <c r="R168" s="51"/>
      <c r="S168" s="51"/>
      <c r="T168" s="51"/>
      <c r="U168" s="52"/>
      <c r="V168" s="53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</row>
    <row r="169" ht="15.75" customHeight="1">
      <c r="A169" s="59"/>
      <c r="B169" s="38"/>
      <c r="C169" s="60"/>
      <c r="D169" s="38"/>
      <c r="E169" s="61"/>
      <c r="F169" s="52"/>
      <c r="G169" s="62"/>
      <c r="H169" s="62"/>
      <c r="I169" s="45"/>
      <c r="J169" s="45"/>
      <c r="K169" s="45"/>
      <c r="L169" s="48"/>
      <c r="M169" s="45"/>
      <c r="N169" s="48"/>
      <c r="O169" s="49" t="str">
        <f t="shared" si="2"/>
        <v/>
      </c>
      <c r="P169" s="45"/>
      <c r="Q169" s="48"/>
      <c r="R169" s="51"/>
      <c r="S169" s="51"/>
      <c r="T169" s="51"/>
      <c r="U169" s="52"/>
      <c r="V169" s="53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</row>
    <row r="170" ht="15.75" customHeight="1">
      <c r="A170" s="59"/>
      <c r="B170" s="38"/>
      <c r="C170" s="60"/>
      <c r="D170" s="38"/>
      <c r="E170" s="61"/>
      <c r="F170" s="52"/>
      <c r="G170" s="62"/>
      <c r="H170" s="62"/>
      <c r="I170" s="45"/>
      <c r="J170" s="45"/>
      <c r="K170" s="45"/>
      <c r="L170" s="48"/>
      <c r="M170" s="45"/>
      <c r="N170" s="48"/>
      <c r="O170" s="49" t="str">
        <f t="shared" si="2"/>
        <v/>
      </c>
      <c r="P170" s="45"/>
      <c r="Q170" s="48"/>
      <c r="R170" s="51"/>
      <c r="S170" s="51"/>
      <c r="T170" s="51"/>
      <c r="U170" s="52"/>
      <c r="V170" s="53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</row>
    <row r="171" ht="15.75" customHeight="1">
      <c r="A171" s="59"/>
      <c r="B171" s="38"/>
      <c r="C171" s="60"/>
      <c r="D171" s="38"/>
      <c r="E171" s="61"/>
      <c r="F171" s="52"/>
      <c r="G171" s="62"/>
      <c r="H171" s="62"/>
      <c r="I171" s="45"/>
      <c r="J171" s="45"/>
      <c r="K171" s="45"/>
      <c r="L171" s="48"/>
      <c r="M171" s="45"/>
      <c r="N171" s="48"/>
      <c r="O171" s="49" t="str">
        <f t="shared" si="2"/>
        <v/>
      </c>
      <c r="P171" s="45"/>
      <c r="Q171" s="48"/>
      <c r="R171" s="51"/>
      <c r="S171" s="51"/>
      <c r="T171" s="51"/>
      <c r="U171" s="52"/>
      <c r="V171" s="53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</row>
    <row r="172" ht="15.75" customHeight="1">
      <c r="A172" s="59"/>
      <c r="B172" s="38"/>
      <c r="C172" s="60"/>
      <c r="D172" s="38"/>
      <c r="E172" s="61"/>
      <c r="F172" s="52"/>
      <c r="G172" s="62"/>
      <c r="H172" s="62"/>
      <c r="I172" s="45"/>
      <c r="J172" s="45"/>
      <c r="K172" s="45"/>
      <c r="L172" s="48"/>
      <c r="M172" s="45"/>
      <c r="N172" s="48"/>
      <c r="O172" s="49" t="str">
        <f t="shared" si="2"/>
        <v/>
      </c>
      <c r="P172" s="45"/>
      <c r="Q172" s="48"/>
      <c r="R172" s="51"/>
      <c r="S172" s="51"/>
      <c r="T172" s="51"/>
      <c r="U172" s="52"/>
      <c r="V172" s="53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</row>
    <row r="173" ht="15.75" customHeight="1">
      <c r="A173" s="59"/>
      <c r="B173" s="38"/>
      <c r="C173" s="60"/>
      <c r="D173" s="38"/>
      <c r="E173" s="61"/>
      <c r="F173" s="52"/>
      <c r="G173" s="62"/>
      <c r="H173" s="62"/>
      <c r="I173" s="45"/>
      <c r="J173" s="45"/>
      <c r="K173" s="45"/>
      <c r="L173" s="48"/>
      <c r="M173" s="45"/>
      <c r="N173" s="48"/>
      <c r="O173" s="49" t="str">
        <f t="shared" si="2"/>
        <v/>
      </c>
      <c r="P173" s="45"/>
      <c r="Q173" s="48"/>
      <c r="R173" s="51"/>
      <c r="S173" s="51"/>
      <c r="T173" s="51"/>
      <c r="U173" s="52"/>
      <c r="V173" s="53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</row>
    <row r="174" ht="15.75" customHeight="1">
      <c r="A174" s="59"/>
      <c r="B174" s="38"/>
      <c r="C174" s="60"/>
      <c r="D174" s="38"/>
      <c r="E174" s="61"/>
      <c r="F174" s="52"/>
      <c r="G174" s="62"/>
      <c r="H174" s="62"/>
      <c r="I174" s="45"/>
      <c r="J174" s="45"/>
      <c r="K174" s="45"/>
      <c r="L174" s="48"/>
      <c r="M174" s="45"/>
      <c r="N174" s="48"/>
      <c r="O174" s="49" t="str">
        <f t="shared" si="2"/>
        <v/>
      </c>
      <c r="P174" s="45"/>
      <c r="Q174" s="48"/>
      <c r="R174" s="51"/>
      <c r="S174" s="51"/>
      <c r="T174" s="51"/>
      <c r="U174" s="52"/>
      <c r="V174" s="53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</row>
    <row r="175" ht="15.75" customHeight="1">
      <c r="A175" s="59"/>
      <c r="B175" s="38"/>
      <c r="C175" s="60"/>
      <c r="D175" s="38"/>
      <c r="E175" s="61"/>
      <c r="F175" s="52"/>
      <c r="G175" s="62"/>
      <c r="H175" s="62"/>
      <c r="I175" s="45"/>
      <c r="J175" s="45"/>
      <c r="K175" s="45"/>
      <c r="L175" s="48"/>
      <c r="M175" s="45"/>
      <c r="N175" s="48"/>
      <c r="O175" s="49" t="str">
        <f t="shared" si="2"/>
        <v/>
      </c>
      <c r="P175" s="45"/>
      <c r="Q175" s="48"/>
      <c r="R175" s="51"/>
      <c r="S175" s="51"/>
      <c r="T175" s="51"/>
      <c r="U175" s="52"/>
      <c r="V175" s="53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</row>
    <row r="176" ht="15.75" customHeight="1">
      <c r="A176" s="59"/>
      <c r="B176" s="38"/>
      <c r="C176" s="60"/>
      <c r="D176" s="38"/>
      <c r="E176" s="61"/>
      <c r="F176" s="52"/>
      <c r="G176" s="62"/>
      <c r="H176" s="62"/>
      <c r="I176" s="45"/>
      <c r="J176" s="45"/>
      <c r="K176" s="45"/>
      <c r="L176" s="48"/>
      <c r="M176" s="45"/>
      <c r="N176" s="48"/>
      <c r="O176" s="49" t="str">
        <f t="shared" si="2"/>
        <v/>
      </c>
      <c r="P176" s="45"/>
      <c r="Q176" s="48"/>
      <c r="R176" s="51"/>
      <c r="S176" s="51"/>
      <c r="T176" s="51"/>
      <c r="U176" s="52"/>
      <c r="V176" s="53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</row>
    <row r="177" ht="15.75" customHeight="1">
      <c r="A177" s="59"/>
      <c r="B177" s="38"/>
      <c r="C177" s="60"/>
      <c r="D177" s="38"/>
      <c r="E177" s="61"/>
      <c r="F177" s="52"/>
      <c r="G177" s="62"/>
      <c r="H177" s="62"/>
      <c r="I177" s="45"/>
      <c r="J177" s="45"/>
      <c r="K177" s="45"/>
      <c r="L177" s="48"/>
      <c r="M177" s="45"/>
      <c r="N177" s="48"/>
      <c r="O177" s="49" t="str">
        <f t="shared" si="2"/>
        <v/>
      </c>
      <c r="P177" s="45"/>
      <c r="Q177" s="48"/>
      <c r="R177" s="51"/>
      <c r="S177" s="51"/>
      <c r="T177" s="51"/>
      <c r="U177" s="52"/>
      <c r="V177" s="53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</row>
    <row r="178" ht="15.75" customHeight="1">
      <c r="A178" s="59"/>
      <c r="B178" s="38"/>
      <c r="C178" s="60"/>
      <c r="D178" s="38"/>
      <c r="E178" s="61"/>
      <c r="F178" s="52"/>
      <c r="G178" s="62"/>
      <c r="H178" s="62"/>
      <c r="I178" s="45"/>
      <c r="J178" s="45"/>
      <c r="K178" s="45"/>
      <c r="L178" s="48"/>
      <c r="M178" s="45"/>
      <c r="N178" s="48"/>
      <c r="O178" s="49" t="str">
        <f t="shared" si="2"/>
        <v/>
      </c>
      <c r="P178" s="45"/>
      <c r="Q178" s="48"/>
      <c r="R178" s="51"/>
      <c r="S178" s="51"/>
      <c r="T178" s="51"/>
      <c r="U178" s="52"/>
      <c r="V178" s="53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</row>
    <row r="179" ht="15.75" customHeight="1">
      <c r="A179" s="59"/>
      <c r="B179" s="38"/>
      <c r="C179" s="60"/>
      <c r="D179" s="38"/>
      <c r="E179" s="61"/>
      <c r="F179" s="52"/>
      <c r="G179" s="62"/>
      <c r="H179" s="62"/>
      <c r="I179" s="45"/>
      <c r="J179" s="45"/>
      <c r="K179" s="45"/>
      <c r="L179" s="48"/>
      <c r="M179" s="45"/>
      <c r="N179" s="48"/>
      <c r="O179" s="49" t="str">
        <f t="shared" si="2"/>
        <v/>
      </c>
      <c r="P179" s="45"/>
      <c r="Q179" s="48"/>
      <c r="R179" s="51"/>
      <c r="S179" s="51"/>
      <c r="T179" s="51"/>
      <c r="U179" s="52"/>
      <c r="V179" s="53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</row>
    <row r="180" ht="15.75" customHeight="1">
      <c r="A180" s="59"/>
      <c r="B180" s="38"/>
      <c r="C180" s="60"/>
      <c r="D180" s="38"/>
      <c r="E180" s="61"/>
      <c r="F180" s="52"/>
      <c r="G180" s="62"/>
      <c r="H180" s="62"/>
      <c r="I180" s="45"/>
      <c r="J180" s="45"/>
      <c r="K180" s="45"/>
      <c r="L180" s="48"/>
      <c r="M180" s="45"/>
      <c r="N180" s="48"/>
      <c r="O180" s="49" t="str">
        <f t="shared" si="2"/>
        <v/>
      </c>
      <c r="P180" s="45"/>
      <c r="Q180" s="48"/>
      <c r="R180" s="51"/>
      <c r="S180" s="51"/>
      <c r="T180" s="51"/>
      <c r="U180" s="52"/>
      <c r="V180" s="53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</row>
    <row r="181" ht="15.75" customHeight="1">
      <c r="A181" s="59"/>
      <c r="B181" s="38"/>
      <c r="C181" s="60"/>
      <c r="D181" s="38"/>
      <c r="E181" s="61"/>
      <c r="F181" s="52"/>
      <c r="G181" s="62"/>
      <c r="H181" s="62"/>
      <c r="I181" s="45"/>
      <c r="J181" s="45"/>
      <c r="K181" s="45"/>
      <c r="L181" s="48"/>
      <c r="M181" s="45"/>
      <c r="N181" s="48"/>
      <c r="O181" s="49" t="str">
        <f t="shared" si="2"/>
        <v/>
      </c>
      <c r="P181" s="45"/>
      <c r="Q181" s="48"/>
      <c r="R181" s="51"/>
      <c r="S181" s="51"/>
      <c r="T181" s="51"/>
      <c r="U181" s="52"/>
      <c r="V181" s="53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</row>
    <row r="182" ht="15.75" customHeight="1">
      <c r="A182" s="59"/>
      <c r="B182" s="38"/>
      <c r="C182" s="60"/>
      <c r="D182" s="38"/>
      <c r="E182" s="61"/>
      <c r="F182" s="52"/>
      <c r="G182" s="62"/>
      <c r="H182" s="62"/>
      <c r="I182" s="45"/>
      <c r="J182" s="45"/>
      <c r="K182" s="45"/>
      <c r="L182" s="48"/>
      <c r="M182" s="45"/>
      <c r="N182" s="48"/>
      <c r="O182" s="49" t="str">
        <f t="shared" si="2"/>
        <v/>
      </c>
      <c r="P182" s="45"/>
      <c r="Q182" s="48"/>
      <c r="R182" s="51"/>
      <c r="S182" s="51"/>
      <c r="T182" s="51"/>
      <c r="U182" s="52"/>
      <c r="V182" s="53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</row>
    <row r="183" ht="15.75" customHeight="1">
      <c r="A183" s="59"/>
      <c r="B183" s="38"/>
      <c r="C183" s="60"/>
      <c r="D183" s="38"/>
      <c r="E183" s="61"/>
      <c r="F183" s="52"/>
      <c r="G183" s="62"/>
      <c r="H183" s="62"/>
      <c r="I183" s="45"/>
      <c r="J183" s="45"/>
      <c r="K183" s="45"/>
      <c r="L183" s="48"/>
      <c r="M183" s="45"/>
      <c r="N183" s="48"/>
      <c r="O183" s="49" t="str">
        <f t="shared" si="2"/>
        <v/>
      </c>
      <c r="P183" s="45"/>
      <c r="Q183" s="48"/>
      <c r="R183" s="51"/>
      <c r="S183" s="51"/>
      <c r="T183" s="51"/>
      <c r="U183" s="52"/>
      <c r="V183" s="53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</row>
    <row r="184" ht="15.75" customHeight="1">
      <c r="A184" s="59"/>
      <c r="B184" s="38"/>
      <c r="C184" s="60"/>
      <c r="D184" s="38"/>
      <c r="E184" s="61"/>
      <c r="F184" s="52"/>
      <c r="G184" s="62"/>
      <c r="H184" s="62"/>
      <c r="I184" s="45"/>
      <c r="J184" s="45"/>
      <c r="K184" s="45"/>
      <c r="L184" s="48"/>
      <c r="M184" s="45"/>
      <c r="N184" s="48"/>
      <c r="O184" s="49" t="str">
        <f t="shared" si="2"/>
        <v/>
      </c>
      <c r="P184" s="45"/>
      <c r="Q184" s="48"/>
      <c r="R184" s="51"/>
      <c r="S184" s="51"/>
      <c r="T184" s="51"/>
      <c r="U184" s="52"/>
      <c r="V184" s="53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</row>
    <row r="185" ht="15.75" customHeight="1">
      <c r="A185" s="59"/>
      <c r="B185" s="38"/>
      <c r="C185" s="60"/>
      <c r="D185" s="38"/>
      <c r="E185" s="61"/>
      <c r="F185" s="52"/>
      <c r="G185" s="62"/>
      <c r="H185" s="62"/>
      <c r="I185" s="45"/>
      <c r="J185" s="45"/>
      <c r="K185" s="45"/>
      <c r="L185" s="48"/>
      <c r="M185" s="45"/>
      <c r="N185" s="48"/>
      <c r="O185" s="49" t="str">
        <f t="shared" si="2"/>
        <v/>
      </c>
      <c r="P185" s="45"/>
      <c r="Q185" s="48"/>
      <c r="R185" s="51"/>
      <c r="S185" s="51"/>
      <c r="T185" s="51"/>
      <c r="U185" s="52"/>
      <c r="V185" s="53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</row>
    <row r="186" ht="15.75" customHeight="1">
      <c r="A186" s="59"/>
      <c r="B186" s="38"/>
      <c r="C186" s="60"/>
      <c r="D186" s="38"/>
      <c r="E186" s="61"/>
      <c r="F186" s="52"/>
      <c r="G186" s="62"/>
      <c r="H186" s="62"/>
      <c r="I186" s="45"/>
      <c r="J186" s="45"/>
      <c r="K186" s="45"/>
      <c r="L186" s="48"/>
      <c r="M186" s="45"/>
      <c r="N186" s="48"/>
      <c r="O186" s="49" t="str">
        <f t="shared" si="2"/>
        <v/>
      </c>
      <c r="P186" s="45"/>
      <c r="Q186" s="48"/>
      <c r="R186" s="51"/>
      <c r="S186" s="51"/>
      <c r="T186" s="51"/>
      <c r="U186" s="52"/>
      <c r="V186" s="53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</row>
    <row r="187" ht="15.75" customHeight="1">
      <c r="A187" s="59"/>
      <c r="B187" s="38"/>
      <c r="C187" s="60"/>
      <c r="D187" s="38"/>
      <c r="E187" s="61"/>
      <c r="F187" s="52"/>
      <c r="G187" s="62"/>
      <c r="H187" s="62"/>
      <c r="I187" s="45"/>
      <c r="J187" s="45"/>
      <c r="K187" s="45"/>
      <c r="L187" s="48"/>
      <c r="M187" s="45"/>
      <c r="N187" s="48"/>
      <c r="O187" s="49" t="str">
        <f t="shared" si="2"/>
        <v/>
      </c>
      <c r="P187" s="45"/>
      <c r="Q187" s="48"/>
      <c r="R187" s="51"/>
      <c r="S187" s="51"/>
      <c r="T187" s="51"/>
      <c r="U187" s="52"/>
      <c r="V187" s="53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</row>
    <row r="188" ht="15.75" customHeight="1">
      <c r="A188" s="59"/>
      <c r="B188" s="38"/>
      <c r="C188" s="60"/>
      <c r="D188" s="38"/>
      <c r="E188" s="61"/>
      <c r="F188" s="52"/>
      <c r="G188" s="62"/>
      <c r="H188" s="62"/>
      <c r="I188" s="45"/>
      <c r="J188" s="45"/>
      <c r="K188" s="45"/>
      <c r="L188" s="48"/>
      <c r="M188" s="45"/>
      <c r="N188" s="48"/>
      <c r="O188" s="49" t="str">
        <f t="shared" si="2"/>
        <v/>
      </c>
      <c r="P188" s="45"/>
      <c r="Q188" s="48"/>
      <c r="R188" s="51"/>
      <c r="S188" s="51"/>
      <c r="T188" s="51"/>
      <c r="U188" s="52"/>
      <c r="V188" s="53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</row>
    <row r="189" ht="15.75" customHeight="1">
      <c r="A189" s="59"/>
      <c r="B189" s="38"/>
      <c r="C189" s="60"/>
      <c r="D189" s="38"/>
      <c r="E189" s="61"/>
      <c r="F189" s="52"/>
      <c r="G189" s="62"/>
      <c r="H189" s="62"/>
      <c r="I189" s="45"/>
      <c r="J189" s="45"/>
      <c r="K189" s="45"/>
      <c r="L189" s="48"/>
      <c r="M189" s="45"/>
      <c r="N189" s="48"/>
      <c r="O189" s="49" t="str">
        <f t="shared" si="2"/>
        <v/>
      </c>
      <c r="P189" s="45"/>
      <c r="Q189" s="48"/>
      <c r="R189" s="51"/>
      <c r="S189" s="51"/>
      <c r="T189" s="51"/>
      <c r="U189" s="52"/>
      <c r="V189" s="53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</row>
    <row r="190" ht="15.75" customHeight="1">
      <c r="A190" s="59"/>
      <c r="B190" s="38"/>
      <c r="C190" s="60"/>
      <c r="D190" s="38"/>
      <c r="E190" s="61"/>
      <c r="F190" s="52"/>
      <c r="G190" s="62"/>
      <c r="H190" s="62"/>
      <c r="I190" s="45"/>
      <c r="J190" s="45"/>
      <c r="K190" s="45"/>
      <c r="L190" s="48"/>
      <c r="M190" s="45"/>
      <c r="N190" s="48"/>
      <c r="O190" s="49" t="str">
        <f t="shared" si="2"/>
        <v/>
      </c>
      <c r="P190" s="45"/>
      <c r="Q190" s="48"/>
      <c r="R190" s="51"/>
      <c r="S190" s="51"/>
      <c r="T190" s="51"/>
      <c r="U190" s="52"/>
      <c r="V190" s="53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</row>
    <row r="191" ht="15.75" customHeight="1">
      <c r="A191" s="59"/>
      <c r="B191" s="38"/>
      <c r="C191" s="60"/>
      <c r="D191" s="38"/>
      <c r="E191" s="61"/>
      <c r="F191" s="52"/>
      <c r="G191" s="62"/>
      <c r="H191" s="62"/>
      <c r="I191" s="45"/>
      <c r="J191" s="45"/>
      <c r="K191" s="45"/>
      <c r="L191" s="48"/>
      <c r="M191" s="45"/>
      <c r="N191" s="48"/>
      <c r="O191" s="49" t="str">
        <f t="shared" si="2"/>
        <v/>
      </c>
      <c r="P191" s="45"/>
      <c r="Q191" s="48"/>
      <c r="R191" s="51"/>
      <c r="S191" s="51"/>
      <c r="T191" s="51"/>
      <c r="U191" s="52"/>
      <c r="V191" s="53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</row>
    <row r="192" ht="15.75" customHeight="1">
      <c r="A192" s="59"/>
      <c r="B192" s="38"/>
      <c r="C192" s="60"/>
      <c r="D192" s="38"/>
      <c r="E192" s="61"/>
      <c r="F192" s="52"/>
      <c r="G192" s="62"/>
      <c r="H192" s="62"/>
      <c r="I192" s="45"/>
      <c r="J192" s="45"/>
      <c r="K192" s="45"/>
      <c r="L192" s="48"/>
      <c r="M192" s="45"/>
      <c r="N192" s="48"/>
      <c r="O192" s="49" t="str">
        <f t="shared" si="2"/>
        <v/>
      </c>
      <c r="P192" s="45"/>
      <c r="Q192" s="48"/>
      <c r="R192" s="51"/>
      <c r="S192" s="51"/>
      <c r="T192" s="51"/>
      <c r="U192" s="52"/>
      <c r="V192" s="53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</row>
    <row r="193" ht="15.75" customHeight="1">
      <c r="A193" s="59"/>
      <c r="B193" s="38"/>
      <c r="C193" s="60"/>
      <c r="D193" s="38"/>
      <c r="E193" s="61"/>
      <c r="F193" s="52"/>
      <c r="G193" s="62"/>
      <c r="H193" s="62"/>
      <c r="I193" s="45"/>
      <c r="J193" s="45"/>
      <c r="K193" s="45"/>
      <c r="L193" s="48"/>
      <c r="M193" s="45"/>
      <c r="N193" s="48"/>
      <c r="O193" s="49" t="str">
        <f t="shared" si="2"/>
        <v/>
      </c>
      <c r="P193" s="45"/>
      <c r="Q193" s="48"/>
      <c r="R193" s="51"/>
      <c r="S193" s="51"/>
      <c r="T193" s="51"/>
      <c r="U193" s="52"/>
      <c r="V193" s="53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</row>
    <row r="194" ht="15.75" customHeight="1">
      <c r="A194" s="59"/>
      <c r="B194" s="38"/>
      <c r="C194" s="60"/>
      <c r="D194" s="38"/>
      <c r="E194" s="61"/>
      <c r="F194" s="52"/>
      <c r="G194" s="62"/>
      <c r="H194" s="62"/>
      <c r="I194" s="45"/>
      <c r="J194" s="45"/>
      <c r="K194" s="45"/>
      <c r="L194" s="48"/>
      <c r="M194" s="45"/>
      <c r="N194" s="48"/>
      <c r="O194" s="49" t="str">
        <f t="shared" si="2"/>
        <v/>
      </c>
      <c r="P194" s="45"/>
      <c r="Q194" s="48"/>
      <c r="R194" s="51"/>
      <c r="S194" s="51"/>
      <c r="T194" s="51"/>
      <c r="U194" s="52"/>
      <c r="V194" s="53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</row>
    <row r="195" ht="15.75" customHeight="1">
      <c r="A195" s="59"/>
      <c r="B195" s="38"/>
      <c r="C195" s="60"/>
      <c r="D195" s="38"/>
      <c r="E195" s="61"/>
      <c r="F195" s="52"/>
      <c r="G195" s="62"/>
      <c r="H195" s="62"/>
      <c r="I195" s="45"/>
      <c r="J195" s="45"/>
      <c r="K195" s="45"/>
      <c r="L195" s="48"/>
      <c r="M195" s="45"/>
      <c r="N195" s="48"/>
      <c r="O195" s="49" t="str">
        <f t="shared" si="2"/>
        <v/>
      </c>
      <c r="P195" s="45"/>
      <c r="Q195" s="48"/>
      <c r="R195" s="51"/>
      <c r="S195" s="51"/>
      <c r="T195" s="51"/>
      <c r="U195" s="52"/>
      <c r="V195" s="53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</row>
    <row r="196" ht="15.75" customHeight="1">
      <c r="A196" s="59"/>
      <c r="B196" s="38"/>
      <c r="C196" s="60"/>
      <c r="D196" s="38"/>
      <c r="E196" s="61"/>
      <c r="F196" s="52"/>
      <c r="G196" s="62"/>
      <c r="H196" s="62"/>
      <c r="I196" s="45"/>
      <c r="J196" s="45"/>
      <c r="K196" s="45"/>
      <c r="L196" s="48"/>
      <c r="M196" s="45"/>
      <c r="N196" s="48"/>
      <c r="O196" s="49" t="str">
        <f t="shared" si="2"/>
        <v/>
      </c>
      <c r="P196" s="45"/>
      <c r="Q196" s="48"/>
      <c r="R196" s="51"/>
      <c r="S196" s="51"/>
      <c r="T196" s="51"/>
      <c r="U196" s="52"/>
      <c r="V196" s="53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</row>
    <row r="197" ht="15.75" customHeight="1">
      <c r="A197" s="59"/>
      <c r="B197" s="38"/>
      <c r="C197" s="60"/>
      <c r="D197" s="38"/>
      <c r="E197" s="61"/>
      <c r="F197" s="52"/>
      <c r="G197" s="62"/>
      <c r="H197" s="62"/>
      <c r="I197" s="45"/>
      <c r="J197" s="45"/>
      <c r="K197" s="45"/>
      <c r="L197" s="48"/>
      <c r="M197" s="45"/>
      <c r="N197" s="48"/>
      <c r="O197" s="49" t="str">
        <f t="shared" si="2"/>
        <v/>
      </c>
      <c r="P197" s="45"/>
      <c r="Q197" s="48"/>
      <c r="R197" s="51"/>
      <c r="S197" s="51"/>
      <c r="T197" s="51"/>
      <c r="U197" s="52"/>
      <c r="V197" s="53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</row>
    <row r="198" ht="15.75" customHeight="1">
      <c r="A198" s="59"/>
      <c r="B198" s="38"/>
      <c r="C198" s="60"/>
      <c r="D198" s="38"/>
      <c r="E198" s="61"/>
      <c r="F198" s="52"/>
      <c r="G198" s="62"/>
      <c r="H198" s="62"/>
      <c r="I198" s="45"/>
      <c r="J198" s="45"/>
      <c r="K198" s="45"/>
      <c r="L198" s="48"/>
      <c r="M198" s="45"/>
      <c r="N198" s="48"/>
      <c r="O198" s="49" t="str">
        <f t="shared" si="2"/>
        <v/>
      </c>
      <c r="P198" s="45"/>
      <c r="Q198" s="48"/>
      <c r="R198" s="51"/>
      <c r="S198" s="51"/>
      <c r="T198" s="51"/>
      <c r="U198" s="52"/>
      <c r="V198" s="53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</row>
    <row r="199" ht="15.75" customHeight="1">
      <c r="A199" s="59"/>
      <c r="B199" s="38"/>
      <c r="C199" s="60"/>
      <c r="D199" s="38"/>
      <c r="E199" s="61"/>
      <c r="F199" s="52"/>
      <c r="G199" s="62"/>
      <c r="H199" s="62"/>
      <c r="I199" s="45"/>
      <c r="J199" s="45"/>
      <c r="K199" s="45"/>
      <c r="L199" s="48"/>
      <c r="M199" s="45"/>
      <c r="N199" s="48"/>
      <c r="O199" s="49" t="str">
        <f t="shared" si="2"/>
        <v/>
      </c>
      <c r="P199" s="45"/>
      <c r="Q199" s="48"/>
      <c r="R199" s="51"/>
      <c r="S199" s="51"/>
      <c r="T199" s="51"/>
      <c r="U199" s="52"/>
      <c r="V199" s="53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</row>
    <row r="200" ht="15.75" customHeight="1">
      <c r="A200" s="38"/>
      <c r="B200" s="38"/>
      <c r="C200" s="60"/>
      <c r="D200" s="38"/>
      <c r="E200" s="61"/>
      <c r="F200" s="52"/>
      <c r="G200" s="62"/>
      <c r="H200" s="62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</row>
    <row r="201" ht="15.75" customHeight="1">
      <c r="A201" s="38"/>
      <c r="B201" s="38"/>
      <c r="C201" s="60"/>
      <c r="D201" s="38"/>
      <c r="E201" s="61"/>
      <c r="F201" s="52"/>
      <c r="G201" s="62"/>
      <c r="H201" s="62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</row>
    <row r="202" ht="15.75" customHeight="1">
      <c r="A202" s="38"/>
      <c r="B202" s="38"/>
      <c r="C202" s="60"/>
      <c r="D202" s="38"/>
      <c r="E202" s="61"/>
      <c r="F202" s="52"/>
      <c r="G202" s="62"/>
      <c r="H202" s="62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</row>
    <row r="203" ht="15.75" customHeight="1">
      <c r="A203" s="38"/>
      <c r="B203" s="38"/>
      <c r="C203" s="60"/>
      <c r="D203" s="38"/>
      <c r="E203" s="61"/>
      <c r="F203" s="52"/>
      <c r="G203" s="62"/>
      <c r="H203" s="62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</row>
    <row r="204" ht="15.75" customHeight="1">
      <c r="A204" s="38"/>
      <c r="B204" s="38"/>
      <c r="C204" s="60"/>
      <c r="D204" s="38"/>
      <c r="E204" s="61"/>
      <c r="F204" s="52"/>
      <c r="G204" s="62"/>
      <c r="H204" s="62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</row>
    <row r="205" ht="15.75" customHeight="1">
      <c r="A205" s="38"/>
      <c r="B205" s="38"/>
      <c r="C205" s="60"/>
      <c r="D205" s="38"/>
      <c r="E205" s="61"/>
      <c r="F205" s="52"/>
      <c r="G205" s="62"/>
      <c r="H205" s="62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</row>
    <row r="206" ht="15.75" customHeight="1">
      <c r="A206" s="38"/>
      <c r="B206" s="38"/>
      <c r="C206" s="60"/>
      <c r="D206" s="38"/>
      <c r="E206" s="61"/>
      <c r="F206" s="52"/>
      <c r="G206" s="62"/>
      <c r="H206" s="62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</row>
    <row r="207" ht="15.75" customHeight="1">
      <c r="A207" s="38"/>
      <c r="B207" s="38"/>
      <c r="C207" s="60"/>
      <c r="D207" s="38"/>
      <c r="E207" s="61"/>
      <c r="F207" s="52"/>
      <c r="G207" s="62"/>
      <c r="H207" s="62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</row>
    <row r="208" ht="15.75" customHeight="1">
      <c r="A208" s="38"/>
      <c r="B208" s="38"/>
      <c r="C208" s="60"/>
      <c r="D208" s="38"/>
      <c r="E208" s="61"/>
      <c r="F208" s="52"/>
      <c r="G208" s="62"/>
      <c r="H208" s="62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</row>
    <row r="209" ht="15.75" customHeight="1">
      <c r="A209" s="38"/>
      <c r="B209" s="38"/>
      <c r="C209" s="60"/>
      <c r="D209" s="38"/>
      <c r="E209" s="61"/>
      <c r="F209" s="52"/>
      <c r="G209" s="62"/>
      <c r="H209" s="62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</row>
    <row r="210" ht="15.75" customHeight="1">
      <c r="A210" s="38"/>
      <c r="B210" s="38"/>
      <c r="C210" s="60"/>
      <c r="D210" s="38"/>
      <c r="E210" s="61"/>
      <c r="F210" s="52"/>
      <c r="G210" s="62"/>
      <c r="H210" s="62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</row>
    <row r="211" ht="15.75" customHeight="1">
      <c r="A211" s="38"/>
      <c r="B211" s="38"/>
      <c r="C211" s="60"/>
      <c r="D211" s="38"/>
      <c r="E211" s="61"/>
      <c r="F211" s="52"/>
      <c r="G211" s="62"/>
      <c r="H211" s="62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</row>
    <row r="212" ht="15.75" customHeight="1">
      <c r="A212" s="38"/>
      <c r="B212" s="38"/>
      <c r="C212" s="60"/>
      <c r="D212" s="38"/>
      <c r="E212" s="61"/>
      <c r="F212" s="52"/>
      <c r="G212" s="62"/>
      <c r="H212" s="62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</row>
    <row r="213" ht="15.75" customHeight="1">
      <c r="A213" s="38"/>
      <c r="B213" s="38"/>
      <c r="C213" s="60"/>
      <c r="D213" s="38"/>
      <c r="E213" s="61"/>
      <c r="F213" s="52"/>
      <c r="G213" s="62"/>
      <c r="H213" s="62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</row>
    <row r="214" ht="15.75" customHeight="1">
      <c r="A214" s="38"/>
      <c r="B214" s="38"/>
      <c r="C214" s="60"/>
      <c r="D214" s="38"/>
      <c r="E214" s="61"/>
      <c r="F214" s="52"/>
      <c r="G214" s="62"/>
      <c r="H214" s="62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</row>
    <row r="215" ht="15.75" customHeight="1">
      <c r="A215" s="38"/>
      <c r="B215" s="38"/>
      <c r="C215" s="60"/>
      <c r="D215" s="38"/>
      <c r="E215" s="61"/>
      <c r="F215" s="52"/>
      <c r="G215" s="62"/>
      <c r="H215" s="62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</row>
    <row r="216" ht="15.75" customHeight="1">
      <c r="A216" s="38"/>
      <c r="B216" s="38"/>
      <c r="C216" s="60"/>
      <c r="D216" s="38"/>
      <c r="E216" s="61"/>
      <c r="F216" s="52"/>
      <c r="G216" s="62"/>
      <c r="H216" s="62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</row>
    <row r="217" ht="15.75" customHeight="1">
      <c r="A217" s="38"/>
      <c r="B217" s="38"/>
      <c r="C217" s="60"/>
      <c r="D217" s="38"/>
      <c r="E217" s="61"/>
      <c r="F217" s="52"/>
      <c r="G217" s="62"/>
      <c r="H217" s="62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</row>
    <row r="218" ht="15.75" customHeight="1">
      <c r="A218" s="38"/>
      <c r="B218" s="38"/>
      <c r="C218" s="60"/>
      <c r="D218" s="38"/>
      <c r="E218" s="61"/>
      <c r="F218" s="52"/>
      <c r="G218" s="62"/>
      <c r="H218" s="62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</row>
    <row r="219" ht="15.75" customHeight="1">
      <c r="A219" s="38"/>
      <c r="B219" s="38"/>
      <c r="C219" s="60"/>
      <c r="D219" s="38"/>
      <c r="E219" s="61"/>
      <c r="F219" s="52"/>
      <c r="G219" s="62"/>
      <c r="H219" s="62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</row>
    <row r="220" ht="15.75" customHeight="1">
      <c r="A220" s="38"/>
      <c r="B220" s="38"/>
      <c r="C220" s="60"/>
      <c r="D220" s="38"/>
      <c r="E220" s="61"/>
      <c r="F220" s="52"/>
      <c r="G220" s="62"/>
      <c r="H220" s="62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</row>
    <row r="221" ht="15.75" customHeight="1">
      <c r="A221" s="38"/>
      <c r="B221" s="38"/>
      <c r="C221" s="60"/>
      <c r="D221" s="38"/>
      <c r="E221" s="61"/>
      <c r="F221" s="52"/>
      <c r="G221" s="62"/>
      <c r="H221" s="62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</row>
    <row r="222" ht="15.75" customHeight="1">
      <c r="A222" s="38"/>
      <c r="B222" s="38"/>
      <c r="C222" s="60"/>
      <c r="D222" s="38"/>
      <c r="E222" s="61"/>
      <c r="F222" s="52"/>
      <c r="G222" s="62"/>
      <c r="H222" s="62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</row>
    <row r="223" ht="15.75" customHeight="1">
      <c r="A223" s="38"/>
      <c r="B223" s="38"/>
      <c r="C223" s="60"/>
      <c r="D223" s="38"/>
      <c r="E223" s="61"/>
      <c r="F223" s="52"/>
      <c r="G223" s="62"/>
      <c r="H223" s="62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</row>
    <row r="224" ht="15.75" customHeight="1">
      <c r="A224" s="38"/>
      <c r="B224" s="38"/>
      <c r="C224" s="60"/>
      <c r="D224" s="38"/>
      <c r="E224" s="61"/>
      <c r="F224" s="52"/>
      <c r="G224" s="62"/>
      <c r="H224" s="62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</row>
    <row r="225" ht="15.75" customHeight="1">
      <c r="A225" s="38"/>
      <c r="B225" s="38"/>
      <c r="C225" s="60"/>
      <c r="D225" s="38"/>
      <c r="E225" s="61"/>
      <c r="F225" s="52"/>
      <c r="G225" s="62"/>
      <c r="H225" s="62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</row>
    <row r="226" ht="15.75" customHeight="1">
      <c r="A226" s="38"/>
      <c r="B226" s="38"/>
      <c r="C226" s="60"/>
      <c r="D226" s="38"/>
      <c r="E226" s="61"/>
      <c r="F226" s="52"/>
      <c r="G226" s="62"/>
      <c r="H226" s="62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</row>
    <row r="227" ht="15.75" customHeight="1">
      <c r="A227" s="38"/>
      <c r="B227" s="38"/>
      <c r="C227" s="60"/>
      <c r="D227" s="38"/>
      <c r="E227" s="61"/>
      <c r="F227" s="52"/>
      <c r="G227" s="62"/>
      <c r="H227" s="62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</row>
    <row r="228" ht="15.75" customHeight="1">
      <c r="A228" s="38"/>
      <c r="B228" s="38"/>
      <c r="C228" s="60"/>
      <c r="D228" s="38"/>
      <c r="E228" s="61"/>
      <c r="F228" s="52"/>
      <c r="G228" s="62"/>
      <c r="H228" s="62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</row>
    <row r="229" ht="15.75" customHeight="1">
      <c r="A229" s="38"/>
      <c r="B229" s="38"/>
      <c r="C229" s="60"/>
      <c r="D229" s="38"/>
      <c r="E229" s="61"/>
      <c r="F229" s="52"/>
      <c r="G229" s="62"/>
      <c r="H229" s="62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</row>
    <row r="230" ht="15.75" customHeight="1">
      <c r="A230" s="38"/>
      <c r="B230" s="38"/>
      <c r="C230" s="60"/>
      <c r="D230" s="38"/>
      <c r="E230" s="61"/>
      <c r="F230" s="52"/>
      <c r="G230" s="62"/>
      <c r="H230" s="62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</row>
    <row r="231" ht="15.75" customHeight="1">
      <c r="A231" s="38"/>
      <c r="B231" s="38"/>
      <c r="C231" s="60"/>
      <c r="D231" s="38"/>
      <c r="E231" s="61"/>
      <c r="F231" s="52"/>
      <c r="G231" s="62"/>
      <c r="H231" s="62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</row>
    <row r="232" ht="15.75" customHeight="1">
      <c r="A232" s="38"/>
      <c r="B232" s="38"/>
      <c r="C232" s="60"/>
      <c r="D232" s="38"/>
      <c r="E232" s="61"/>
      <c r="F232" s="52"/>
      <c r="G232" s="62"/>
      <c r="H232" s="62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</row>
    <row r="233" ht="15.75" customHeight="1">
      <c r="A233" s="38"/>
      <c r="B233" s="38"/>
      <c r="C233" s="60"/>
      <c r="D233" s="38"/>
      <c r="E233" s="61"/>
      <c r="F233" s="52"/>
      <c r="G233" s="62"/>
      <c r="H233" s="62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</row>
    <row r="234" ht="15.75" customHeight="1">
      <c r="A234" s="38"/>
      <c r="B234" s="38"/>
      <c r="C234" s="60"/>
      <c r="D234" s="38"/>
      <c r="E234" s="61"/>
      <c r="F234" s="52"/>
      <c r="G234" s="62"/>
      <c r="H234" s="62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</row>
    <row r="235" ht="15.75" customHeight="1">
      <c r="A235" s="38"/>
      <c r="B235" s="38"/>
      <c r="C235" s="60"/>
      <c r="D235" s="38"/>
      <c r="E235" s="61"/>
      <c r="F235" s="52"/>
      <c r="G235" s="62"/>
      <c r="H235" s="62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</row>
    <row r="236" ht="15.75" customHeight="1">
      <c r="A236" s="38"/>
      <c r="B236" s="38"/>
      <c r="C236" s="60"/>
      <c r="D236" s="38"/>
      <c r="E236" s="61"/>
      <c r="F236" s="52"/>
      <c r="G236" s="62"/>
      <c r="H236" s="62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</row>
    <row r="237" ht="15.75" customHeight="1">
      <c r="A237" s="38"/>
      <c r="B237" s="38"/>
      <c r="C237" s="60"/>
      <c r="D237" s="38"/>
      <c r="E237" s="61"/>
      <c r="F237" s="52"/>
      <c r="G237" s="62"/>
      <c r="H237" s="62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</row>
    <row r="238" ht="15.75" customHeight="1">
      <c r="A238" s="38"/>
      <c r="B238" s="38"/>
      <c r="C238" s="60"/>
      <c r="D238" s="38"/>
      <c r="E238" s="61"/>
      <c r="F238" s="52"/>
      <c r="G238" s="62"/>
      <c r="H238" s="62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</row>
    <row r="239" ht="15.75" customHeight="1">
      <c r="A239" s="38"/>
      <c r="B239" s="38"/>
      <c r="C239" s="60"/>
      <c r="D239" s="38"/>
      <c r="E239" s="61"/>
      <c r="F239" s="52"/>
      <c r="G239" s="62"/>
      <c r="H239" s="62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</row>
    <row r="240" ht="15.75" customHeight="1">
      <c r="A240" s="38"/>
      <c r="B240" s="38"/>
      <c r="C240" s="60"/>
      <c r="D240" s="38"/>
      <c r="E240" s="61"/>
      <c r="F240" s="52"/>
      <c r="G240" s="62"/>
      <c r="H240" s="62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</row>
    <row r="241" ht="15.75" customHeight="1">
      <c r="A241" s="38"/>
      <c r="B241" s="38"/>
      <c r="C241" s="60"/>
      <c r="D241" s="38"/>
      <c r="E241" s="61"/>
      <c r="F241" s="52"/>
      <c r="G241" s="62"/>
      <c r="H241" s="62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</row>
    <row r="242" ht="15.75" customHeight="1">
      <c r="A242" s="38"/>
      <c r="B242" s="38"/>
      <c r="C242" s="60"/>
      <c r="D242" s="38"/>
      <c r="E242" s="61"/>
      <c r="F242" s="52"/>
      <c r="G242" s="62"/>
      <c r="H242" s="62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</row>
    <row r="243" ht="15.75" customHeight="1">
      <c r="A243" s="38"/>
      <c r="B243" s="38"/>
      <c r="C243" s="60"/>
      <c r="D243" s="38"/>
      <c r="E243" s="61"/>
      <c r="F243" s="52"/>
      <c r="G243" s="62"/>
      <c r="H243" s="62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</row>
    <row r="244" ht="15.75" customHeight="1">
      <c r="A244" s="38"/>
      <c r="B244" s="38"/>
      <c r="C244" s="60"/>
      <c r="D244" s="38"/>
      <c r="E244" s="61"/>
      <c r="F244" s="52"/>
      <c r="G244" s="62"/>
      <c r="H244" s="62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</row>
    <row r="245" ht="15.75" customHeight="1">
      <c r="A245" s="38"/>
      <c r="B245" s="38"/>
      <c r="C245" s="60"/>
      <c r="D245" s="38"/>
      <c r="E245" s="61"/>
      <c r="F245" s="52"/>
      <c r="G245" s="62"/>
      <c r="H245" s="62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</row>
    <row r="246" ht="15.75" customHeight="1">
      <c r="A246" s="38"/>
      <c r="B246" s="38"/>
      <c r="C246" s="60"/>
      <c r="D246" s="38"/>
      <c r="E246" s="61"/>
      <c r="F246" s="52"/>
      <c r="G246" s="62"/>
      <c r="H246" s="62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</row>
    <row r="247" ht="15.75" customHeight="1">
      <c r="A247" s="38"/>
      <c r="B247" s="38"/>
      <c r="C247" s="60"/>
      <c r="D247" s="38"/>
      <c r="E247" s="61"/>
      <c r="F247" s="52"/>
      <c r="G247" s="62"/>
      <c r="H247" s="62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</row>
    <row r="248" ht="15.75" customHeight="1">
      <c r="A248" s="38"/>
      <c r="B248" s="38"/>
      <c r="C248" s="60"/>
      <c r="D248" s="38"/>
      <c r="E248" s="61"/>
      <c r="F248" s="52"/>
      <c r="G248" s="62"/>
      <c r="H248" s="62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</row>
    <row r="249" ht="15.75" customHeight="1">
      <c r="A249" s="38"/>
      <c r="B249" s="38"/>
      <c r="C249" s="60"/>
      <c r="D249" s="38"/>
      <c r="E249" s="61"/>
      <c r="F249" s="52"/>
      <c r="G249" s="62"/>
      <c r="H249" s="62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</row>
    <row r="250" ht="15.75" customHeight="1">
      <c r="A250" s="38"/>
      <c r="B250" s="38"/>
      <c r="C250" s="60"/>
      <c r="D250" s="38"/>
      <c r="E250" s="61"/>
      <c r="F250" s="52"/>
      <c r="G250" s="62"/>
      <c r="H250" s="62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</row>
    <row r="251" ht="15.75" customHeight="1">
      <c r="A251" s="38"/>
      <c r="B251" s="38"/>
      <c r="C251" s="60"/>
      <c r="D251" s="38"/>
      <c r="E251" s="61"/>
      <c r="F251" s="52"/>
      <c r="G251" s="62"/>
      <c r="H251" s="62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</row>
    <row r="252" ht="15.75" customHeight="1">
      <c r="A252" s="38"/>
      <c r="B252" s="38"/>
      <c r="C252" s="60"/>
      <c r="D252" s="38"/>
      <c r="E252" s="61"/>
      <c r="F252" s="52"/>
      <c r="G252" s="62"/>
      <c r="H252" s="62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</row>
    <row r="253" ht="15.75" customHeight="1">
      <c r="A253" s="38"/>
      <c r="B253" s="38"/>
      <c r="C253" s="60"/>
      <c r="D253" s="38"/>
      <c r="E253" s="61"/>
      <c r="F253" s="52"/>
      <c r="G253" s="62"/>
      <c r="H253" s="62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</row>
    <row r="254" ht="15.75" customHeight="1">
      <c r="A254" s="38"/>
      <c r="B254" s="38"/>
      <c r="C254" s="60"/>
      <c r="D254" s="38"/>
      <c r="E254" s="61"/>
      <c r="F254" s="52"/>
      <c r="G254" s="62"/>
      <c r="H254" s="62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</row>
    <row r="255" ht="15.75" customHeight="1">
      <c r="A255" s="38"/>
      <c r="B255" s="38"/>
      <c r="C255" s="60"/>
      <c r="D255" s="38"/>
      <c r="E255" s="61"/>
      <c r="F255" s="52"/>
      <c r="G255" s="62"/>
      <c r="H255" s="62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</row>
    <row r="256" ht="15.75" customHeight="1">
      <c r="A256" s="38"/>
      <c r="B256" s="38"/>
      <c r="C256" s="60"/>
      <c r="D256" s="38"/>
      <c r="E256" s="61"/>
      <c r="F256" s="52"/>
      <c r="G256" s="62"/>
      <c r="H256" s="62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</row>
    <row r="257" ht="15.75" customHeight="1">
      <c r="A257" s="38"/>
      <c r="B257" s="38"/>
      <c r="C257" s="60"/>
      <c r="D257" s="38"/>
      <c r="E257" s="61"/>
      <c r="F257" s="52"/>
      <c r="G257" s="62"/>
      <c r="H257" s="62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</row>
    <row r="258" ht="15.75" customHeight="1">
      <c r="A258" s="38"/>
      <c r="B258" s="38"/>
      <c r="C258" s="60"/>
      <c r="D258" s="38"/>
      <c r="E258" s="61"/>
      <c r="F258" s="52"/>
      <c r="G258" s="62"/>
      <c r="H258" s="62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</row>
    <row r="259" ht="15.75" customHeight="1">
      <c r="A259" s="38"/>
      <c r="B259" s="38"/>
      <c r="C259" s="60"/>
      <c r="D259" s="38"/>
      <c r="E259" s="61"/>
      <c r="F259" s="52"/>
      <c r="G259" s="62"/>
      <c r="H259" s="62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</row>
    <row r="260" ht="15.75" customHeight="1">
      <c r="A260" s="38"/>
      <c r="B260" s="38"/>
      <c r="C260" s="60"/>
      <c r="D260" s="38"/>
      <c r="E260" s="61"/>
      <c r="F260" s="52"/>
      <c r="G260" s="62"/>
      <c r="H260" s="62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</row>
    <row r="261" ht="15.75" customHeight="1">
      <c r="A261" s="38"/>
      <c r="B261" s="38"/>
      <c r="C261" s="60"/>
      <c r="D261" s="38"/>
      <c r="E261" s="61"/>
      <c r="F261" s="52"/>
      <c r="G261" s="62"/>
      <c r="H261" s="62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</row>
    <row r="262" ht="15.75" customHeight="1">
      <c r="A262" s="38"/>
      <c r="B262" s="38"/>
      <c r="C262" s="60"/>
      <c r="D262" s="38"/>
      <c r="E262" s="61"/>
      <c r="F262" s="52"/>
      <c r="G262" s="62"/>
      <c r="H262" s="62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</row>
    <row r="263" ht="15.75" customHeight="1">
      <c r="A263" s="38"/>
      <c r="B263" s="38"/>
      <c r="C263" s="60"/>
      <c r="D263" s="38"/>
      <c r="E263" s="61"/>
      <c r="F263" s="52"/>
      <c r="G263" s="62"/>
      <c r="H263" s="62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</row>
    <row r="264" ht="15.75" customHeight="1">
      <c r="A264" s="38"/>
      <c r="B264" s="38"/>
      <c r="C264" s="60"/>
      <c r="D264" s="38"/>
      <c r="E264" s="61"/>
      <c r="F264" s="52"/>
      <c r="G264" s="62"/>
      <c r="H264" s="62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</row>
    <row r="265" ht="15.75" customHeight="1">
      <c r="A265" s="38"/>
      <c r="B265" s="38"/>
      <c r="C265" s="60"/>
      <c r="D265" s="38"/>
      <c r="E265" s="61"/>
      <c r="F265" s="52"/>
      <c r="G265" s="62"/>
      <c r="H265" s="62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</row>
    <row r="266" ht="15.75" customHeight="1">
      <c r="A266" s="38"/>
      <c r="B266" s="38"/>
      <c r="C266" s="60"/>
      <c r="D266" s="38"/>
      <c r="E266" s="61"/>
      <c r="F266" s="52"/>
      <c r="G266" s="62"/>
      <c r="H266" s="62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</row>
    <row r="267" ht="15.75" customHeight="1">
      <c r="A267" s="38"/>
      <c r="B267" s="38"/>
      <c r="C267" s="60"/>
      <c r="D267" s="38"/>
      <c r="E267" s="61"/>
      <c r="F267" s="52"/>
      <c r="G267" s="62"/>
      <c r="H267" s="62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</row>
    <row r="268" ht="15.75" customHeight="1">
      <c r="A268" s="38"/>
      <c r="B268" s="38"/>
      <c r="C268" s="60"/>
      <c r="D268" s="38"/>
      <c r="E268" s="61"/>
      <c r="F268" s="52"/>
      <c r="G268" s="62"/>
      <c r="H268" s="62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</row>
    <row r="269" ht="15.75" customHeight="1">
      <c r="A269" s="38"/>
      <c r="B269" s="38"/>
      <c r="C269" s="60"/>
      <c r="D269" s="38"/>
      <c r="E269" s="61"/>
      <c r="F269" s="52"/>
      <c r="G269" s="62"/>
      <c r="H269" s="62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</row>
    <row r="270" ht="15.75" customHeight="1">
      <c r="A270" s="38"/>
      <c r="B270" s="38"/>
      <c r="C270" s="60"/>
      <c r="D270" s="38"/>
      <c r="E270" s="61"/>
      <c r="F270" s="52"/>
      <c r="G270" s="62"/>
      <c r="H270" s="62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</row>
    <row r="271" ht="15.75" customHeight="1">
      <c r="A271" s="38"/>
      <c r="B271" s="38"/>
      <c r="C271" s="60"/>
      <c r="D271" s="38"/>
      <c r="E271" s="61"/>
      <c r="F271" s="52"/>
      <c r="G271" s="62"/>
      <c r="H271" s="62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</row>
    <row r="272" ht="15.75" customHeight="1">
      <c r="A272" s="38"/>
      <c r="B272" s="38"/>
      <c r="C272" s="60"/>
      <c r="D272" s="38"/>
      <c r="E272" s="61"/>
      <c r="F272" s="52"/>
      <c r="G272" s="62"/>
      <c r="H272" s="62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</row>
    <row r="273" ht="15.75" customHeight="1">
      <c r="A273" s="38"/>
      <c r="B273" s="38"/>
      <c r="C273" s="60"/>
      <c r="D273" s="38"/>
      <c r="E273" s="61"/>
      <c r="F273" s="52"/>
      <c r="G273" s="62"/>
      <c r="H273" s="62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</row>
    <row r="274" ht="15.75" customHeight="1">
      <c r="A274" s="38"/>
      <c r="B274" s="38"/>
      <c r="C274" s="60"/>
      <c r="D274" s="38"/>
      <c r="E274" s="61"/>
      <c r="F274" s="52"/>
      <c r="G274" s="62"/>
      <c r="H274" s="62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</row>
    <row r="275" ht="15.75" customHeight="1">
      <c r="A275" s="38"/>
      <c r="B275" s="38"/>
      <c r="C275" s="60"/>
      <c r="D275" s="38"/>
      <c r="E275" s="61"/>
      <c r="F275" s="52"/>
      <c r="G275" s="62"/>
      <c r="H275" s="62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</row>
    <row r="276" ht="15.75" customHeight="1">
      <c r="A276" s="38"/>
      <c r="B276" s="38"/>
      <c r="C276" s="60"/>
      <c r="D276" s="38"/>
      <c r="E276" s="61"/>
      <c r="F276" s="52"/>
      <c r="G276" s="62"/>
      <c r="H276" s="62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</row>
    <row r="277" ht="15.75" customHeight="1">
      <c r="A277" s="38"/>
      <c r="B277" s="38"/>
      <c r="C277" s="60"/>
      <c r="D277" s="38"/>
      <c r="E277" s="61"/>
      <c r="F277" s="52"/>
      <c r="G277" s="62"/>
      <c r="H277" s="62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</row>
    <row r="278" ht="15.75" customHeight="1">
      <c r="A278" s="38"/>
      <c r="B278" s="38"/>
      <c r="C278" s="60"/>
      <c r="D278" s="38"/>
      <c r="E278" s="61"/>
      <c r="F278" s="52"/>
      <c r="G278" s="62"/>
      <c r="H278" s="62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</row>
    <row r="279" ht="15.75" customHeight="1">
      <c r="A279" s="38"/>
      <c r="B279" s="38"/>
      <c r="C279" s="60"/>
      <c r="D279" s="38"/>
      <c r="E279" s="61"/>
      <c r="F279" s="52"/>
      <c r="G279" s="62"/>
      <c r="H279" s="62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</row>
    <row r="280" ht="15.75" customHeight="1">
      <c r="A280" s="38"/>
      <c r="B280" s="38"/>
      <c r="C280" s="60"/>
      <c r="D280" s="38"/>
      <c r="E280" s="61"/>
      <c r="F280" s="52"/>
      <c r="G280" s="62"/>
      <c r="H280" s="62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</row>
    <row r="281" ht="15.75" customHeight="1">
      <c r="A281" s="38"/>
      <c r="B281" s="38"/>
      <c r="C281" s="60"/>
      <c r="D281" s="38"/>
      <c r="E281" s="61"/>
      <c r="F281" s="52"/>
      <c r="G281" s="62"/>
      <c r="H281" s="62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</row>
    <row r="282" ht="15.75" customHeight="1">
      <c r="A282" s="38"/>
      <c r="B282" s="38"/>
      <c r="C282" s="60"/>
      <c r="D282" s="38"/>
      <c r="E282" s="61"/>
      <c r="F282" s="52"/>
      <c r="G282" s="62"/>
      <c r="H282" s="62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</row>
    <row r="283" ht="15.75" customHeight="1">
      <c r="A283" s="38"/>
      <c r="B283" s="38"/>
      <c r="C283" s="60"/>
      <c r="D283" s="38"/>
      <c r="E283" s="61"/>
      <c r="F283" s="52"/>
      <c r="G283" s="62"/>
      <c r="H283" s="62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</row>
    <row r="284" ht="15.75" customHeight="1">
      <c r="A284" s="38"/>
      <c r="B284" s="38"/>
      <c r="C284" s="60"/>
      <c r="D284" s="38"/>
      <c r="E284" s="61"/>
      <c r="F284" s="52"/>
      <c r="G284" s="62"/>
      <c r="H284" s="62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</row>
    <row r="285" ht="15.75" customHeight="1">
      <c r="A285" s="38"/>
      <c r="B285" s="38"/>
      <c r="C285" s="60"/>
      <c r="D285" s="38"/>
      <c r="E285" s="61"/>
      <c r="F285" s="52"/>
      <c r="G285" s="62"/>
      <c r="H285" s="62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</row>
    <row r="286" ht="15.75" customHeight="1">
      <c r="A286" s="38"/>
      <c r="B286" s="38"/>
      <c r="C286" s="60"/>
      <c r="D286" s="38"/>
      <c r="E286" s="61"/>
      <c r="F286" s="52"/>
      <c r="G286" s="62"/>
      <c r="H286" s="62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</row>
    <row r="287" ht="15.75" customHeight="1">
      <c r="A287" s="38"/>
      <c r="B287" s="38"/>
      <c r="C287" s="60"/>
      <c r="D287" s="38"/>
      <c r="E287" s="61"/>
      <c r="F287" s="52"/>
      <c r="G287" s="62"/>
      <c r="H287" s="62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</row>
    <row r="288" ht="15.75" customHeight="1">
      <c r="A288" s="38"/>
      <c r="B288" s="38"/>
      <c r="C288" s="60"/>
      <c r="D288" s="38"/>
      <c r="E288" s="61"/>
      <c r="F288" s="52"/>
      <c r="G288" s="62"/>
      <c r="H288" s="62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</row>
    <row r="289" ht="15.75" customHeight="1">
      <c r="A289" s="38"/>
      <c r="B289" s="38"/>
      <c r="C289" s="60"/>
      <c r="D289" s="38"/>
      <c r="E289" s="61"/>
      <c r="F289" s="52"/>
      <c r="G289" s="62"/>
      <c r="H289" s="62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</row>
    <row r="290" ht="15.75" customHeight="1">
      <c r="A290" s="38"/>
      <c r="B290" s="38"/>
      <c r="C290" s="60"/>
      <c r="D290" s="38"/>
      <c r="E290" s="61"/>
      <c r="F290" s="52"/>
      <c r="G290" s="62"/>
      <c r="H290" s="62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</row>
    <row r="291" ht="15.75" customHeight="1">
      <c r="A291" s="38"/>
      <c r="B291" s="38"/>
      <c r="C291" s="60"/>
      <c r="D291" s="38"/>
      <c r="E291" s="61"/>
      <c r="F291" s="52"/>
      <c r="G291" s="62"/>
      <c r="H291" s="62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</row>
    <row r="292" ht="15.75" customHeight="1">
      <c r="A292" s="38"/>
      <c r="B292" s="38"/>
      <c r="C292" s="60"/>
      <c r="D292" s="38"/>
      <c r="E292" s="61"/>
      <c r="F292" s="52"/>
      <c r="G292" s="62"/>
      <c r="H292" s="62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</row>
    <row r="293" ht="15.75" customHeight="1">
      <c r="A293" s="38"/>
      <c r="B293" s="38"/>
      <c r="C293" s="60"/>
      <c r="D293" s="38"/>
      <c r="E293" s="61"/>
      <c r="F293" s="52"/>
      <c r="G293" s="62"/>
      <c r="H293" s="62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</row>
    <row r="294" ht="15.75" customHeight="1">
      <c r="A294" s="38"/>
      <c r="B294" s="38"/>
      <c r="C294" s="60"/>
      <c r="D294" s="38"/>
      <c r="E294" s="61"/>
      <c r="F294" s="52"/>
      <c r="G294" s="62"/>
      <c r="H294" s="62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</row>
    <row r="295" ht="15.75" customHeight="1">
      <c r="A295" s="38"/>
      <c r="B295" s="38"/>
      <c r="C295" s="60"/>
      <c r="D295" s="38"/>
      <c r="E295" s="61"/>
      <c r="F295" s="52"/>
      <c r="G295" s="62"/>
      <c r="H295" s="62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</row>
    <row r="296" ht="15.75" customHeight="1">
      <c r="A296" s="38"/>
      <c r="B296" s="38"/>
      <c r="C296" s="60"/>
      <c r="D296" s="38"/>
      <c r="E296" s="61"/>
      <c r="F296" s="52"/>
      <c r="G296" s="62"/>
      <c r="H296" s="62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</row>
    <row r="297" ht="15.75" customHeight="1">
      <c r="A297" s="38"/>
      <c r="B297" s="38"/>
      <c r="C297" s="60"/>
      <c r="D297" s="38"/>
      <c r="E297" s="61"/>
      <c r="F297" s="52"/>
      <c r="G297" s="62"/>
      <c r="H297" s="62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</row>
    <row r="298" ht="15.75" customHeight="1">
      <c r="A298" s="38"/>
      <c r="B298" s="38"/>
      <c r="C298" s="60"/>
      <c r="D298" s="38"/>
      <c r="E298" s="61"/>
      <c r="F298" s="52"/>
      <c r="G298" s="62"/>
      <c r="H298" s="62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</row>
    <row r="299" ht="15.75" customHeight="1">
      <c r="A299" s="38"/>
      <c r="B299" s="38"/>
      <c r="C299" s="60"/>
      <c r="D299" s="38"/>
      <c r="E299" s="61"/>
      <c r="F299" s="52"/>
      <c r="G299" s="62"/>
      <c r="H299" s="62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</row>
    <row r="300" ht="15.75" customHeight="1">
      <c r="A300" s="38"/>
      <c r="B300" s="38"/>
      <c r="C300" s="60"/>
      <c r="D300" s="38"/>
      <c r="E300" s="61"/>
      <c r="F300" s="52"/>
      <c r="G300" s="62"/>
      <c r="H300" s="62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</row>
    <row r="301" ht="15.75" customHeight="1">
      <c r="A301" s="38"/>
      <c r="B301" s="38"/>
      <c r="C301" s="60"/>
      <c r="D301" s="38"/>
      <c r="E301" s="61"/>
      <c r="F301" s="52"/>
      <c r="G301" s="62"/>
      <c r="H301" s="62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</row>
    <row r="302" ht="15.75" customHeight="1">
      <c r="A302" s="38"/>
      <c r="B302" s="38"/>
      <c r="C302" s="60"/>
      <c r="D302" s="38"/>
      <c r="E302" s="61"/>
      <c r="F302" s="52"/>
      <c r="G302" s="62"/>
      <c r="H302" s="62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</row>
    <row r="303" ht="15.75" customHeight="1">
      <c r="A303" s="38"/>
      <c r="B303" s="38"/>
      <c r="C303" s="60"/>
      <c r="D303" s="38"/>
      <c r="E303" s="61"/>
      <c r="F303" s="52"/>
      <c r="G303" s="62"/>
      <c r="H303" s="62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</row>
    <row r="304" ht="15.75" customHeight="1">
      <c r="A304" s="38"/>
      <c r="B304" s="38"/>
      <c r="C304" s="60"/>
      <c r="D304" s="38"/>
      <c r="E304" s="61"/>
      <c r="F304" s="52"/>
      <c r="G304" s="62"/>
      <c r="H304" s="62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</row>
    <row r="305" ht="15.75" customHeight="1">
      <c r="A305" s="38"/>
      <c r="B305" s="38"/>
      <c r="C305" s="60"/>
      <c r="D305" s="38"/>
      <c r="E305" s="61"/>
      <c r="F305" s="52"/>
      <c r="G305" s="62"/>
      <c r="H305" s="62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</row>
    <row r="306" ht="15.75" customHeight="1">
      <c r="A306" s="38"/>
      <c r="B306" s="38"/>
      <c r="C306" s="60"/>
      <c r="D306" s="38"/>
      <c r="E306" s="61"/>
      <c r="F306" s="52"/>
      <c r="G306" s="62"/>
      <c r="H306" s="62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</row>
    <row r="307" ht="15.75" customHeight="1">
      <c r="A307" s="38"/>
      <c r="B307" s="38"/>
      <c r="C307" s="60"/>
      <c r="D307" s="38"/>
      <c r="E307" s="61"/>
      <c r="F307" s="52"/>
      <c r="G307" s="62"/>
      <c r="H307" s="62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</row>
    <row r="308" ht="15.75" customHeight="1">
      <c r="A308" s="38"/>
      <c r="B308" s="38"/>
      <c r="C308" s="60"/>
      <c r="D308" s="38"/>
      <c r="E308" s="61"/>
      <c r="F308" s="52"/>
      <c r="G308" s="62"/>
      <c r="H308" s="62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</row>
    <row r="309" ht="15.75" customHeight="1">
      <c r="A309" s="38"/>
      <c r="B309" s="38"/>
      <c r="C309" s="60"/>
      <c r="D309" s="38"/>
      <c r="E309" s="61"/>
      <c r="F309" s="52"/>
      <c r="G309" s="62"/>
      <c r="H309" s="62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</row>
    <row r="310" ht="15.75" customHeight="1">
      <c r="A310" s="38"/>
      <c r="B310" s="38"/>
      <c r="C310" s="60"/>
      <c r="D310" s="38"/>
      <c r="E310" s="61"/>
      <c r="F310" s="52"/>
      <c r="G310" s="62"/>
      <c r="H310" s="62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</row>
    <row r="311" ht="15.75" customHeight="1">
      <c r="A311" s="38"/>
      <c r="B311" s="38"/>
      <c r="C311" s="60"/>
      <c r="D311" s="38"/>
      <c r="E311" s="61"/>
      <c r="F311" s="52"/>
      <c r="G311" s="62"/>
      <c r="H311" s="62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</row>
    <row r="312" ht="15.75" customHeight="1">
      <c r="A312" s="38"/>
      <c r="B312" s="38"/>
      <c r="C312" s="60"/>
      <c r="D312" s="38"/>
      <c r="E312" s="61"/>
      <c r="F312" s="52"/>
      <c r="G312" s="62"/>
      <c r="H312" s="62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</row>
    <row r="313" ht="15.75" customHeight="1">
      <c r="A313" s="38"/>
      <c r="B313" s="38"/>
      <c r="C313" s="60"/>
      <c r="D313" s="38"/>
      <c r="E313" s="61"/>
      <c r="F313" s="52"/>
      <c r="G313" s="62"/>
      <c r="H313" s="62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</row>
    <row r="314" ht="15.75" customHeight="1">
      <c r="A314" s="38"/>
      <c r="B314" s="38"/>
      <c r="C314" s="60"/>
      <c r="D314" s="38"/>
      <c r="E314" s="61"/>
      <c r="F314" s="52"/>
      <c r="G314" s="62"/>
      <c r="H314" s="62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</row>
    <row r="315" ht="15.75" customHeight="1">
      <c r="A315" s="38"/>
      <c r="B315" s="38"/>
      <c r="C315" s="60"/>
      <c r="D315" s="38"/>
      <c r="E315" s="61"/>
      <c r="F315" s="52"/>
      <c r="G315" s="62"/>
      <c r="H315" s="62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</row>
    <row r="316" ht="15.75" customHeight="1">
      <c r="A316" s="38"/>
      <c r="B316" s="38"/>
      <c r="C316" s="60"/>
      <c r="D316" s="38"/>
      <c r="E316" s="61"/>
      <c r="F316" s="52"/>
      <c r="G316" s="62"/>
      <c r="H316" s="62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</row>
    <row r="317" ht="15.75" customHeight="1">
      <c r="A317" s="38"/>
      <c r="B317" s="38"/>
      <c r="C317" s="60"/>
      <c r="D317" s="38"/>
      <c r="E317" s="61"/>
      <c r="F317" s="52"/>
      <c r="G317" s="62"/>
      <c r="H317" s="62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</row>
    <row r="318" ht="15.75" customHeight="1">
      <c r="A318" s="38"/>
      <c r="B318" s="38"/>
      <c r="C318" s="60"/>
      <c r="D318" s="38"/>
      <c r="E318" s="61"/>
      <c r="F318" s="52"/>
      <c r="G318" s="62"/>
      <c r="H318" s="62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</row>
    <row r="319" ht="15.75" customHeight="1">
      <c r="A319" s="38"/>
      <c r="B319" s="38"/>
      <c r="C319" s="60"/>
      <c r="D319" s="38"/>
      <c r="E319" s="61"/>
      <c r="F319" s="52"/>
      <c r="G319" s="62"/>
      <c r="H319" s="62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</row>
    <row r="320" ht="15.75" customHeight="1">
      <c r="A320" s="38"/>
      <c r="B320" s="38"/>
      <c r="C320" s="60"/>
      <c r="D320" s="38"/>
      <c r="E320" s="61"/>
      <c r="F320" s="52"/>
      <c r="G320" s="62"/>
      <c r="H320" s="62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</row>
    <row r="321" ht="15.75" customHeight="1">
      <c r="A321" s="38"/>
      <c r="B321" s="38"/>
      <c r="C321" s="60"/>
      <c r="D321" s="38"/>
      <c r="E321" s="61"/>
      <c r="F321" s="52"/>
      <c r="G321" s="62"/>
      <c r="H321" s="62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</row>
    <row r="322" ht="15.75" customHeight="1">
      <c r="A322" s="38"/>
      <c r="B322" s="38"/>
      <c r="C322" s="60"/>
      <c r="D322" s="38"/>
      <c r="E322" s="61"/>
      <c r="F322" s="52"/>
      <c r="G322" s="62"/>
      <c r="H322" s="62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</row>
    <row r="323" ht="15.75" customHeight="1">
      <c r="A323" s="38"/>
      <c r="B323" s="38"/>
      <c r="C323" s="60"/>
      <c r="D323" s="38"/>
      <c r="E323" s="61"/>
      <c r="F323" s="52"/>
      <c r="G323" s="62"/>
      <c r="H323" s="62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</row>
    <row r="324" ht="15.75" customHeight="1">
      <c r="A324" s="38"/>
      <c r="B324" s="38"/>
      <c r="C324" s="60"/>
      <c r="D324" s="38"/>
      <c r="E324" s="61"/>
      <c r="F324" s="52"/>
      <c r="G324" s="62"/>
      <c r="H324" s="62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</row>
    <row r="325" ht="15.75" customHeight="1">
      <c r="A325" s="38"/>
      <c r="B325" s="38"/>
      <c r="C325" s="60"/>
      <c r="D325" s="38"/>
      <c r="E325" s="61"/>
      <c r="F325" s="52"/>
      <c r="G325" s="62"/>
      <c r="H325" s="62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</row>
    <row r="326" ht="15.75" customHeight="1">
      <c r="A326" s="38"/>
      <c r="B326" s="38"/>
      <c r="C326" s="60"/>
      <c r="D326" s="38"/>
      <c r="E326" s="61"/>
      <c r="F326" s="52"/>
      <c r="G326" s="62"/>
      <c r="H326" s="62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</row>
    <row r="327" ht="15.75" customHeight="1">
      <c r="A327" s="38"/>
      <c r="B327" s="38"/>
      <c r="C327" s="60"/>
      <c r="D327" s="38"/>
      <c r="E327" s="61"/>
      <c r="F327" s="52"/>
      <c r="G327" s="62"/>
      <c r="H327" s="62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</row>
    <row r="328" ht="15.75" customHeight="1">
      <c r="A328" s="38"/>
      <c r="B328" s="38"/>
      <c r="C328" s="60"/>
      <c r="D328" s="38"/>
      <c r="E328" s="61"/>
      <c r="F328" s="52"/>
      <c r="G328" s="62"/>
      <c r="H328" s="62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</row>
    <row r="329" ht="15.75" customHeight="1">
      <c r="A329" s="38"/>
      <c r="B329" s="38"/>
      <c r="C329" s="60"/>
      <c r="D329" s="38"/>
      <c r="E329" s="61"/>
      <c r="F329" s="52"/>
      <c r="G329" s="62"/>
      <c r="H329" s="62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</row>
    <row r="330" ht="15.75" customHeight="1">
      <c r="A330" s="38"/>
      <c r="B330" s="38"/>
      <c r="C330" s="60"/>
      <c r="D330" s="38"/>
      <c r="E330" s="61"/>
      <c r="F330" s="52"/>
      <c r="G330" s="62"/>
      <c r="H330" s="62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</row>
    <row r="331" ht="15.75" customHeight="1">
      <c r="A331" s="38"/>
      <c r="B331" s="38"/>
      <c r="C331" s="60"/>
      <c r="D331" s="38"/>
      <c r="E331" s="61"/>
      <c r="F331" s="52"/>
      <c r="G331" s="62"/>
      <c r="H331" s="62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</row>
    <row r="332" ht="15.75" customHeight="1">
      <c r="A332" s="38"/>
      <c r="B332" s="38"/>
      <c r="C332" s="60"/>
      <c r="D332" s="38"/>
      <c r="E332" s="61"/>
      <c r="F332" s="52"/>
      <c r="G332" s="62"/>
      <c r="H332" s="62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</row>
    <row r="333" ht="15.75" customHeight="1">
      <c r="A333" s="38"/>
      <c r="B333" s="38"/>
      <c r="C333" s="60"/>
      <c r="D333" s="38"/>
      <c r="E333" s="61"/>
      <c r="F333" s="52"/>
      <c r="G333" s="62"/>
      <c r="H333" s="62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</row>
    <row r="334" ht="15.75" customHeight="1">
      <c r="A334" s="38"/>
      <c r="B334" s="38"/>
      <c r="C334" s="60"/>
      <c r="D334" s="38"/>
      <c r="E334" s="61"/>
      <c r="F334" s="52"/>
      <c r="G334" s="62"/>
      <c r="H334" s="62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</row>
    <row r="335" ht="15.75" customHeight="1">
      <c r="A335" s="38"/>
      <c r="B335" s="38"/>
      <c r="C335" s="60"/>
      <c r="D335" s="38"/>
      <c r="E335" s="61"/>
      <c r="F335" s="52"/>
      <c r="G335" s="62"/>
      <c r="H335" s="62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</row>
    <row r="336" ht="15.75" customHeight="1">
      <c r="A336" s="38"/>
      <c r="B336" s="38"/>
      <c r="C336" s="60"/>
      <c r="D336" s="38"/>
      <c r="E336" s="61"/>
      <c r="F336" s="52"/>
      <c r="G336" s="62"/>
      <c r="H336" s="62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</row>
    <row r="337" ht="15.75" customHeight="1">
      <c r="A337" s="38"/>
      <c r="B337" s="38"/>
      <c r="C337" s="60"/>
      <c r="D337" s="38"/>
      <c r="E337" s="61"/>
      <c r="F337" s="52"/>
      <c r="G337" s="62"/>
      <c r="H337" s="62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</row>
    <row r="338" ht="15.75" customHeight="1">
      <c r="A338" s="38"/>
      <c r="B338" s="38"/>
      <c r="C338" s="60"/>
      <c r="D338" s="38"/>
      <c r="E338" s="61"/>
      <c r="F338" s="52"/>
      <c r="G338" s="62"/>
      <c r="H338" s="62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</row>
    <row r="339" ht="15.75" customHeight="1">
      <c r="A339" s="38"/>
      <c r="B339" s="38"/>
      <c r="C339" s="60"/>
      <c r="D339" s="38"/>
      <c r="E339" s="61"/>
      <c r="F339" s="52"/>
      <c r="G339" s="62"/>
      <c r="H339" s="62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</row>
    <row r="340" ht="15.75" customHeight="1">
      <c r="A340" s="38"/>
      <c r="B340" s="38"/>
      <c r="C340" s="60"/>
      <c r="D340" s="38"/>
      <c r="E340" s="61"/>
      <c r="F340" s="52"/>
      <c r="G340" s="62"/>
      <c r="H340" s="62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</row>
    <row r="341" ht="15.75" customHeight="1">
      <c r="A341" s="38"/>
      <c r="B341" s="38"/>
      <c r="C341" s="60"/>
      <c r="D341" s="38"/>
      <c r="E341" s="61"/>
      <c r="F341" s="52"/>
      <c r="G341" s="62"/>
      <c r="H341" s="62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</row>
    <row r="342" ht="15.75" customHeight="1">
      <c r="A342" s="38"/>
      <c r="B342" s="38"/>
      <c r="C342" s="60"/>
      <c r="D342" s="38"/>
      <c r="E342" s="61"/>
      <c r="F342" s="52"/>
      <c r="G342" s="62"/>
      <c r="H342" s="62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</row>
    <row r="343" ht="15.75" customHeight="1">
      <c r="A343" s="38"/>
      <c r="B343" s="38"/>
      <c r="C343" s="60"/>
      <c r="D343" s="38"/>
      <c r="E343" s="61"/>
      <c r="F343" s="52"/>
      <c r="G343" s="62"/>
      <c r="H343" s="62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</row>
    <row r="344" ht="15.75" customHeight="1">
      <c r="A344" s="38"/>
      <c r="B344" s="38"/>
      <c r="C344" s="60"/>
      <c r="D344" s="38"/>
      <c r="E344" s="61"/>
      <c r="F344" s="52"/>
      <c r="G344" s="62"/>
      <c r="H344" s="62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</row>
    <row r="345" ht="15.75" customHeight="1">
      <c r="A345" s="38"/>
      <c r="B345" s="38"/>
      <c r="C345" s="60"/>
      <c r="D345" s="38"/>
      <c r="E345" s="61"/>
      <c r="F345" s="52"/>
      <c r="G345" s="62"/>
      <c r="H345" s="62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</row>
    <row r="346" ht="15.75" customHeight="1">
      <c r="A346" s="38"/>
      <c r="B346" s="38"/>
      <c r="C346" s="60"/>
      <c r="D346" s="38"/>
      <c r="E346" s="61"/>
      <c r="F346" s="52"/>
      <c r="G346" s="62"/>
      <c r="H346" s="62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</row>
    <row r="347" ht="15.75" customHeight="1">
      <c r="A347" s="38"/>
      <c r="B347" s="38"/>
      <c r="C347" s="60"/>
      <c r="D347" s="38"/>
      <c r="E347" s="61"/>
      <c r="F347" s="52"/>
      <c r="G347" s="62"/>
      <c r="H347" s="62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</row>
    <row r="348" ht="15.75" customHeight="1">
      <c r="A348" s="38"/>
      <c r="B348" s="38"/>
      <c r="C348" s="60"/>
      <c r="D348" s="38"/>
      <c r="E348" s="61"/>
      <c r="F348" s="52"/>
      <c r="G348" s="62"/>
      <c r="H348" s="62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</row>
    <row r="349" ht="15.75" customHeight="1">
      <c r="A349" s="38"/>
      <c r="B349" s="38"/>
      <c r="C349" s="60"/>
      <c r="D349" s="38"/>
      <c r="E349" s="61"/>
      <c r="F349" s="52"/>
      <c r="G349" s="62"/>
      <c r="H349" s="62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</row>
    <row r="350" ht="15.75" customHeight="1">
      <c r="A350" s="38"/>
      <c r="B350" s="38"/>
      <c r="C350" s="60"/>
      <c r="D350" s="38"/>
      <c r="E350" s="61"/>
      <c r="F350" s="52"/>
      <c r="G350" s="62"/>
      <c r="H350" s="62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</row>
    <row r="351" ht="15.75" customHeight="1">
      <c r="A351" s="38"/>
      <c r="B351" s="38"/>
      <c r="C351" s="60"/>
      <c r="D351" s="38"/>
      <c r="E351" s="61"/>
      <c r="F351" s="52"/>
      <c r="G351" s="62"/>
      <c r="H351" s="62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</row>
    <row r="352" ht="15.75" customHeight="1">
      <c r="A352" s="38"/>
      <c r="B352" s="38"/>
      <c r="C352" s="60"/>
      <c r="D352" s="38"/>
      <c r="E352" s="61"/>
      <c r="F352" s="52"/>
      <c r="G352" s="62"/>
      <c r="H352" s="62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</row>
    <row r="353" ht="15.75" customHeight="1">
      <c r="A353" s="38"/>
      <c r="B353" s="38"/>
      <c r="C353" s="60"/>
      <c r="D353" s="38"/>
      <c r="E353" s="61"/>
      <c r="F353" s="52"/>
      <c r="G353" s="62"/>
      <c r="H353" s="62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</row>
    <row r="354" ht="15.75" customHeight="1">
      <c r="A354" s="38"/>
      <c r="B354" s="38"/>
      <c r="C354" s="60"/>
      <c r="D354" s="38"/>
      <c r="E354" s="61"/>
      <c r="F354" s="52"/>
      <c r="G354" s="62"/>
      <c r="H354" s="62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</row>
    <row r="355" ht="15.75" customHeight="1">
      <c r="A355" s="38"/>
      <c r="B355" s="38"/>
      <c r="C355" s="60"/>
      <c r="D355" s="38"/>
      <c r="E355" s="61"/>
      <c r="F355" s="52"/>
      <c r="G355" s="62"/>
      <c r="H355" s="62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</row>
    <row r="356" ht="15.75" customHeight="1">
      <c r="A356" s="38"/>
      <c r="B356" s="38"/>
      <c r="C356" s="60"/>
      <c r="D356" s="38"/>
      <c r="E356" s="61"/>
      <c r="F356" s="52"/>
      <c r="G356" s="62"/>
      <c r="H356" s="62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</row>
    <row r="357" ht="15.75" customHeight="1">
      <c r="A357" s="38"/>
      <c r="B357" s="38"/>
      <c r="C357" s="60"/>
      <c r="D357" s="38"/>
      <c r="E357" s="61"/>
      <c r="F357" s="52"/>
      <c r="G357" s="62"/>
      <c r="H357" s="62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</row>
    <row r="358" ht="15.75" customHeight="1">
      <c r="A358" s="38"/>
      <c r="B358" s="38"/>
      <c r="C358" s="60"/>
      <c r="D358" s="38"/>
      <c r="E358" s="61"/>
      <c r="F358" s="52"/>
      <c r="G358" s="62"/>
      <c r="H358" s="62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</row>
    <row r="359" ht="15.75" customHeight="1">
      <c r="A359" s="38"/>
      <c r="B359" s="38"/>
      <c r="C359" s="60"/>
      <c r="D359" s="38"/>
      <c r="E359" s="61"/>
      <c r="F359" s="52"/>
      <c r="G359" s="62"/>
      <c r="H359" s="62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</row>
    <row r="360" ht="15.75" customHeight="1">
      <c r="A360" s="38"/>
      <c r="B360" s="38"/>
      <c r="C360" s="60"/>
      <c r="D360" s="38"/>
      <c r="E360" s="61"/>
      <c r="F360" s="52"/>
      <c r="G360" s="62"/>
      <c r="H360" s="62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</row>
    <row r="361" ht="15.75" customHeight="1">
      <c r="A361" s="38"/>
      <c r="B361" s="38"/>
      <c r="C361" s="60"/>
      <c r="D361" s="38"/>
      <c r="E361" s="61"/>
      <c r="F361" s="52"/>
      <c r="G361" s="62"/>
      <c r="H361" s="62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</row>
    <row r="362" ht="15.75" customHeight="1">
      <c r="A362" s="38"/>
      <c r="B362" s="38"/>
      <c r="C362" s="60"/>
      <c r="D362" s="38"/>
      <c r="E362" s="61"/>
      <c r="F362" s="52"/>
      <c r="G362" s="62"/>
      <c r="H362" s="62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</row>
    <row r="363" ht="15.75" customHeight="1">
      <c r="A363" s="38"/>
      <c r="B363" s="38"/>
      <c r="C363" s="60"/>
      <c r="D363" s="38"/>
      <c r="E363" s="61"/>
      <c r="F363" s="52"/>
      <c r="G363" s="62"/>
      <c r="H363" s="62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</row>
    <row r="364" ht="15.75" customHeight="1">
      <c r="A364" s="38"/>
      <c r="B364" s="38"/>
      <c r="C364" s="60"/>
      <c r="D364" s="38"/>
      <c r="E364" s="61"/>
      <c r="F364" s="52"/>
      <c r="G364" s="62"/>
      <c r="H364" s="62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</row>
    <row r="365" ht="15.75" customHeight="1">
      <c r="A365" s="38"/>
      <c r="B365" s="38"/>
      <c r="C365" s="60"/>
      <c r="D365" s="38"/>
      <c r="E365" s="61"/>
      <c r="F365" s="52"/>
      <c r="G365" s="62"/>
      <c r="H365" s="62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</row>
    <row r="366" ht="15.75" customHeight="1">
      <c r="A366" s="38"/>
      <c r="B366" s="38"/>
      <c r="C366" s="60"/>
      <c r="D366" s="38"/>
      <c r="E366" s="61"/>
      <c r="F366" s="52"/>
      <c r="G366" s="62"/>
      <c r="H366" s="62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</row>
    <row r="367" ht="15.75" customHeight="1">
      <c r="A367" s="38"/>
      <c r="B367" s="38"/>
      <c r="C367" s="60"/>
      <c r="D367" s="38"/>
      <c r="E367" s="61"/>
      <c r="F367" s="52"/>
      <c r="G367" s="62"/>
      <c r="H367" s="62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</row>
    <row r="368" ht="15.75" customHeight="1">
      <c r="A368" s="38"/>
      <c r="B368" s="38"/>
      <c r="C368" s="60"/>
      <c r="D368" s="38"/>
      <c r="E368" s="61"/>
      <c r="F368" s="52"/>
      <c r="G368" s="62"/>
      <c r="H368" s="62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</row>
    <row r="369" ht="15.75" customHeight="1">
      <c r="A369" s="38"/>
      <c r="B369" s="38"/>
      <c r="C369" s="60"/>
      <c r="D369" s="38"/>
      <c r="E369" s="61"/>
      <c r="F369" s="52"/>
      <c r="G369" s="62"/>
      <c r="H369" s="62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</row>
    <row r="370" ht="15.75" customHeight="1">
      <c r="A370" s="38"/>
      <c r="B370" s="38"/>
      <c r="C370" s="60"/>
      <c r="D370" s="38"/>
      <c r="E370" s="61"/>
      <c r="F370" s="52"/>
      <c r="G370" s="62"/>
      <c r="H370" s="62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</row>
    <row r="371" ht="15.75" customHeight="1">
      <c r="A371" s="38"/>
      <c r="B371" s="38"/>
      <c r="C371" s="60"/>
      <c r="D371" s="38"/>
      <c r="E371" s="61"/>
      <c r="F371" s="52"/>
      <c r="G371" s="62"/>
      <c r="H371" s="62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</row>
    <row r="372" ht="15.75" customHeight="1">
      <c r="A372" s="38"/>
      <c r="B372" s="38"/>
      <c r="C372" s="60"/>
      <c r="D372" s="38"/>
      <c r="E372" s="61"/>
      <c r="F372" s="52"/>
      <c r="G372" s="62"/>
      <c r="H372" s="62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</row>
    <row r="373" ht="15.75" customHeight="1">
      <c r="A373" s="38"/>
      <c r="B373" s="38"/>
      <c r="C373" s="60"/>
      <c r="D373" s="38"/>
      <c r="E373" s="61"/>
      <c r="F373" s="52"/>
      <c r="G373" s="62"/>
      <c r="H373" s="62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</row>
    <row r="374" ht="15.75" customHeight="1">
      <c r="A374" s="38"/>
      <c r="B374" s="38"/>
      <c r="C374" s="60"/>
      <c r="D374" s="38"/>
      <c r="E374" s="61"/>
      <c r="F374" s="52"/>
      <c r="G374" s="62"/>
      <c r="H374" s="62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</row>
    <row r="375" ht="15.75" customHeight="1">
      <c r="A375" s="38"/>
      <c r="B375" s="38"/>
      <c r="C375" s="60"/>
      <c r="D375" s="38"/>
      <c r="E375" s="61"/>
      <c r="F375" s="52"/>
      <c r="G375" s="62"/>
      <c r="H375" s="62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</row>
    <row r="376" ht="15.75" customHeight="1">
      <c r="A376" s="38"/>
      <c r="B376" s="38"/>
      <c r="C376" s="60"/>
      <c r="D376" s="38"/>
      <c r="E376" s="61"/>
      <c r="F376" s="52"/>
      <c r="G376" s="62"/>
      <c r="H376" s="62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</row>
    <row r="377" ht="15.75" customHeight="1">
      <c r="A377" s="38"/>
      <c r="B377" s="38"/>
      <c r="C377" s="60"/>
      <c r="D377" s="38"/>
      <c r="E377" s="61"/>
      <c r="F377" s="52"/>
      <c r="G377" s="62"/>
      <c r="H377" s="62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</row>
    <row r="378" ht="15.75" customHeight="1">
      <c r="A378" s="38"/>
      <c r="B378" s="38"/>
      <c r="C378" s="60"/>
      <c r="D378" s="38"/>
      <c r="E378" s="61"/>
      <c r="F378" s="52"/>
      <c r="G378" s="62"/>
      <c r="H378" s="62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</row>
    <row r="379" ht="15.75" customHeight="1">
      <c r="A379" s="38"/>
      <c r="B379" s="38"/>
      <c r="C379" s="60"/>
      <c r="D379" s="38"/>
      <c r="E379" s="61"/>
      <c r="F379" s="52"/>
      <c r="G379" s="62"/>
      <c r="H379" s="62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</row>
    <row r="380" ht="15.75" customHeight="1">
      <c r="A380" s="38"/>
      <c r="B380" s="38"/>
      <c r="C380" s="60"/>
      <c r="D380" s="38"/>
      <c r="E380" s="61"/>
      <c r="F380" s="52"/>
      <c r="G380" s="62"/>
      <c r="H380" s="62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</row>
    <row r="381" ht="15.75" customHeight="1">
      <c r="A381" s="38"/>
      <c r="B381" s="38"/>
      <c r="C381" s="60"/>
      <c r="D381" s="38"/>
      <c r="E381" s="61"/>
      <c r="F381" s="52"/>
      <c r="G381" s="62"/>
      <c r="H381" s="62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</row>
    <row r="382" ht="15.75" customHeight="1">
      <c r="A382" s="38"/>
      <c r="B382" s="38"/>
      <c r="C382" s="60"/>
      <c r="D382" s="38"/>
      <c r="E382" s="61"/>
      <c r="F382" s="52"/>
      <c r="G382" s="62"/>
      <c r="H382" s="62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</row>
    <row r="383" ht="15.75" customHeight="1">
      <c r="A383" s="38"/>
      <c r="B383" s="38"/>
      <c r="C383" s="60"/>
      <c r="D383" s="38"/>
      <c r="E383" s="61"/>
      <c r="F383" s="52"/>
      <c r="G383" s="62"/>
      <c r="H383" s="62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</row>
    <row r="384" ht="15.75" customHeight="1">
      <c r="A384" s="38"/>
      <c r="B384" s="38"/>
      <c r="C384" s="60"/>
      <c r="D384" s="38"/>
      <c r="E384" s="61"/>
      <c r="F384" s="52"/>
      <c r="G384" s="62"/>
      <c r="H384" s="62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</row>
    <row r="385" ht="15.75" customHeight="1">
      <c r="A385" s="38"/>
      <c r="B385" s="38"/>
      <c r="C385" s="60"/>
      <c r="D385" s="38"/>
      <c r="E385" s="61"/>
      <c r="F385" s="52"/>
      <c r="G385" s="62"/>
      <c r="H385" s="62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</row>
    <row r="386" ht="15.75" customHeight="1">
      <c r="A386" s="38"/>
      <c r="B386" s="38"/>
      <c r="C386" s="60"/>
      <c r="D386" s="38"/>
      <c r="E386" s="61"/>
      <c r="F386" s="52"/>
      <c r="G386" s="62"/>
      <c r="H386" s="62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</row>
    <row r="387" ht="15.75" customHeight="1">
      <c r="A387" s="38"/>
      <c r="B387" s="38"/>
      <c r="C387" s="60"/>
      <c r="D387" s="38"/>
      <c r="E387" s="61"/>
      <c r="F387" s="52"/>
      <c r="G387" s="62"/>
      <c r="H387" s="62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</row>
    <row r="388" ht="15.75" customHeight="1">
      <c r="A388" s="38"/>
      <c r="B388" s="38"/>
      <c r="C388" s="60"/>
      <c r="D388" s="38"/>
      <c r="E388" s="61"/>
      <c r="F388" s="52"/>
      <c r="G388" s="62"/>
      <c r="H388" s="62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</row>
    <row r="389" ht="15.75" customHeight="1">
      <c r="A389" s="38"/>
      <c r="B389" s="38"/>
      <c r="C389" s="60"/>
      <c r="D389" s="38"/>
      <c r="E389" s="61"/>
      <c r="F389" s="52"/>
      <c r="G389" s="62"/>
      <c r="H389" s="62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</row>
    <row r="390" ht="15.75" customHeight="1">
      <c r="A390" s="38"/>
      <c r="B390" s="38"/>
      <c r="C390" s="60"/>
      <c r="D390" s="38"/>
      <c r="E390" s="61"/>
      <c r="F390" s="52"/>
      <c r="G390" s="62"/>
      <c r="H390" s="62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</row>
    <row r="391" ht="15.75" customHeight="1">
      <c r="A391" s="38"/>
      <c r="B391" s="38"/>
      <c r="C391" s="60"/>
      <c r="D391" s="38"/>
      <c r="E391" s="61"/>
      <c r="F391" s="52"/>
      <c r="G391" s="62"/>
      <c r="H391" s="62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</row>
    <row r="392" ht="15.75" customHeight="1">
      <c r="A392" s="38"/>
      <c r="B392" s="38"/>
      <c r="C392" s="60"/>
      <c r="D392" s="38"/>
      <c r="E392" s="61"/>
      <c r="F392" s="52"/>
      <c r="G392" s="62"/>
      <c r="H392" s="62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</row>
    <row r="393" ht="15.75" customHeight="1">
      <c r="A393" s="38"/>
      <c r="B393" s="38"/>
      <c r="C393" s="60"/>
      <c r="D393" s="38"/>
      <c r="E393" s="61"/>
      <c r="F393" s="52"/>
      <c r="G393" s="62"/>
      <c r="H393" s="62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</row>
    <row r="394" ht="15.75" customHeight="1">
      <c r="A394" s="38"/>
      <c r="B394" s="38"/>
      <c r="C394" s="60"/>
      <c r="D394" s="38"/>
      <c r="E394" s="61"/>
      <c r="F394" s="52"/>
      <c r="G394" s="62"/>
      <c r="H394" s="62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</row>
    <row r="395" ht="15.75" customHeight="1">
      <c r="A395" s="38"/>
      <c r="B395" s="38"/>
      <c r="C395" s="60"/>
      <c r="D395" s="38"/>
      <c r="E395" s="61"/>
      <c r="F395" s="52"/>
      <c r="G395" s="62"/>
      <c r="H395" s="62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</row>
    <row r="396" ht="15.75" customHeight="1">
      <c r="A396" s="38"/>
      <c r="B396" s="38"/>
      <c r="C396" s="60"/>
      <c r="D396" s="38"/>
      <c r="E396" s="61"/>
      <c r="F396" s="52"/>
      <c r="G396" s="62"/>
      <c r="H396" s="62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</row>
    <row r="397" ht="15.75" customHeight="1">
      <c r="A397" s="38"/>
      <c r="B397" s="38"/>
      <c r="C397" s="60"/>
      <c r="D397" s="38"/>
      <c r="E397" s="61"/>
      <c r="F397" s="52"/>
      <c r="G397" s="62"/>
      <c r="H397" s="62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</row>
    <row r="398" ht="15.75" customHeight="1">
      <c r="A398" s="38"/>
      <c r="B398" s="38"/>
      <c r="C398" s="60"/>
      <c r="D398" s="38"/>
      <c r="E398" s="61"/>
      <c r="F398" s="52"/>
      <c r="G398" s="62"/>
      <c r="H398" s="62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</row>
    <row r="399" ht="15.75" customHeight="1">
      <c r="A399" s="38"/>
      <c r="B399" s="38"/>
      <c r="C399" s="60"/>
      <c r="D399" s="38"/>
      <c r="E399" s="61"/>
      <c r="F399" s="52"/>
      <c r="G399" s="62"/>
      <c r="H399" s="62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</row>
    <row r="400" ht="15.75" customHeight="1">
      <c r="C400" s="63"/>
    </row>
    <row r="401" ht="15.75" customHeight="1">
      <c r="C401" s="63"/>
    </row>
    <row r="402" ht="15.75" customHeight="1">
      <c r="C402" s="63"/>
    </row>
    <row r="403" ht="15.75" customHeight="1">
      <c r="C403" s="63"/>
    </row>
    <row r="404" ht="15.75" customHeight="1">
      <c r="C404" s="63"/>
    </row>
    <row r="405" ht="15.75" customHeight="1">
      <c r="C405" s="63"/>
    </row>
    <row r="406" ht="15.75" customHeight="1">
      <c r="C406" s="63"/>
    </row>
    <row r="407" ht="15.75" customHeight="1">
      <c r="C407" s="63"/>
    </row>
    <row r="408" ht="15.75" customHeight="1">
      <c r="C408" s="63"/>
    </row>
    <row r="409" ht="15.75" customHeight="1">
      <c r="C409" s="63"/>
    </row>
    <row r="410" ht="15.75" customHeight="1">
      <c r="C410" s="63"/>
    </row>
    <row r="411" ht="15.75" customHeight="1">
      <c r="C411" s="63"/>
    </row>
    <row r="412" ht="15.75" customHeight="1">
      <c r="C412" s="63"/>
    </row>
    <row r="413" ht="15.75" customHeight="1">
      <c r="C413" s="63"/>
    </row>
    <row r="414" ht="15.75" customHeight="1">
      <c r="C414" s="63"/>
    </row>
    <row r="415" ht="15.75" customHeight="1">
      <c r="C415" s="63"/>
    </row>
    <row r="416" ht="15.75" customHeight="1">
      <c r="C416" s="63"/>
    </row>
    <row r="417" ht="15.75" customHeight="1">
      <c r="C417" s="63"/>
    </row>
    <row r="418" ht="15.75" customHeight="1">
      <c r="C418" s="63"/>
    </row>
    <row r="419" ht="15.75" customHeight="1">
      <c r="C419" s="63"/>
    </row>
    <row r="420" ht="15.75" customHeight="1">
      <c r="C420" s="63"/>
    </row>
    <row r="421" ht="15.75" customHeight="1">
      <c r="C421" s="63"/>
    </row>
    <row r="422" ht="15.75" customHeight="1">
      <c r="C422" s="63"/>
    </row>
    <row r="423" ht="15.75" customHeight="1">
      <c r="C423" s="63"/>
    </row>
    <row r="424" ht="15.75" customHeight="1">
      <c r="C424" s="63"/>
    </row>
    <row r="425" ht="15.75" customHeight="1">
      <c r="C425" s="63"/>
    </row>
    <row r="426" ht="15.75" customHeight="1">
      <c r="C426" s="63"/>
    </row>
    <row r="427" ht="15.75" customHeight="1">
      <c r="C427" s="63"/>
    </row>
    <row r="428" ht="15.75" customHeight="1">
      <c r="C428" s="63"/>
    </row>
    <row r="429" ht="15.75" customHeight="1">
      <c r="C429" s="63"/>
    </row>
    <row r="430" ht="15.75" customHeight="1">
      <c r="C430" s="63"/>
    </row>
    <row r="431" ht="15.75" customHeight="1">
      <c r="C431" s="63"/>
    </row>
    <row r="432" ht="15.75" customHeight="1">
      <c r="C432" s="63"/>
    </row>
    <row r="433" ht="15.75" customHeight="1">
      <c r="C433" s="63"/>
    </row>
    <row r="434" ht="15.75" customHeight="1">
      <c r="C434" s="63"/>
    </row>
    <row r="435" ht="15.75" customHeight="1">
      <c r="C435" s="63"/>
    </row>
    <row r="436" ht="15.75" customHeight="1">
      <c r="C436" s="63"/>
    </row>
    <row r="437" ht="15.75" customHeight="1">
      <c r="C437" s="63"/>
    </row>
    <row r="438" ht="15.75" customHeight="1">
      <c r="C438" s="63"/>
    </row>
    <row r="439" ht="15.75" customHeight="1">
      <c r="C439" s="63"/>
    </row>
    <row r="440" ht="15.75" customHeight="1">
      <c r="C440" s="63"/>
    </row>
    <row r="441" ht="15.75" customHeight="1">
      <c r="C441" s="63"/>
    </row>
    <row r="442" ht="15.75" customHeight="1">
      <c r="C442" s="63"/>
    </row>
    <row r="443" ht="15.75" customHeight="1">
      <c r="C443" s="63"/>
    </row>
    <row r="444" ht="15.75" customHeight="1">
      <c r="C444" s="63"/>
    </row>
    <row r="445" ht="15.75" customHeight="1">
      <c r="C445" s="63"/>
    </row>
    <row r="446" ht="15.75" customHeight="1">
      <c r="C446" s="63"/>
    </row>
    <row r="447" ht="15.75" customHeight="1">
      <c r="C447" s="63"/>
    </row>
    <row r="448" ht="15.75" customHeight="1">
      <c r="C448" s="63"/>
    </row>
    <row r="449" ht="15.75" customHeight="1">
      <c r="C449" s="63"/>
    </row>
    <row r="450" ht="15.75" customHeight="1">
      <c r="C450" s="63"/>
    </row>
    <row r="451" ht="15.75" customHeight="1">
      <c r="C451" s="63"/>
    </row>
    <row r="452" ht="15.75" customHeight="1">
      <c r="C452" s="63"/>
    </row>
    <row r="453" ht="15.75" customHeight="1">
      <c r="C453" s="63"/>
    </row>
    <row r="454" ht="15.75" customHeight="1">
      <c r="C454" s="63"/>
    </row>
    <row r="455" ht="15.75" customHeight="1">
      <c r="C455" s="63"/>
    </row>
    <row r="456" ht="15.75" customHeight="1">
      <c r="C456" s="63"/>
    </row>
    <row r="457" ht="15.75" customHeight="1">
      <c r="C457" s="63"/>
    </row>
    <row r="458" ht="15.75" customHeight="1">
      <c r="C458" s="63"/>
    </row>
    <row r="459" ht="15.75" customHeight="1">
      <c r="C459" s="63"/>
    </row>
    <row r="460" ht="15.75" customHeight="1">
      <c r="C460" s="63"/>
    </row>
    <row r="461" ht="15.75" customHeight="1">
      <c r="C461" s="63"/>
    </row>
    <row r="462" ht="15.75" customHeight="1">
      <c r="C462" s="63"/>
    </row>
    <row r="463" ht="15.75" customHeight="1">
      <c r="C463" s="63"/>
    </row>
    <row r="464" ht="15.75" customHeight="1">
      <c r="C464" s="63"/>
    </row>
    <row r="465" ht="15.75" customHeight="1">
      <c r="C465" s="63"/>
    </row>
    <row r="466" ht="15.75" customHeight="1">
      <c r="C466" s="63"/>
    </row>
    <row r="467" ht="15.75" customHeight="1">
      <c r="C467" s="63"/>
    </row>
    <row r="468" ht="15.75" customHeight="1">
      <c r="C468" s="63"/>
    </row>
    <row r="469" ht="15.75" customHeight="1">
      <c r="C469" s="63"/>
    </row>
    <row r="470" ht="15.75" customHeight="1">
      <c r="C470" s="63"/>
    </row>
    <row r="471" ht="15.75" customHeight="1">
      <c r="C471" s="63"/>
    </row>
    <row r="472" ht="15.75" customHeight="1">
      <c r="C472" s="63"/>
    </row>
    <row r="473" ht="15.75" customHeight="1">
      <c r="C473" s="63"/>
    </row>
    <row r="474" ht="15.75" customHeight="1">
      <c r="C474" s="63"/>
    </row>
    <row r="475" ht="15.75" customHeight="1">
      <c r="C475" s="63"/>
    </row>
    <row r="476" ht="15.75" customHeight="1">
      <c r="C476" s="63"/>
    </row>
    <row r="477" ht="15.75" customHeight="1">
      <c r="C477" s="63"/>
    </row>
    <row r="478" ht="15.75" customHeight="1">
      <c r="C478" s="63"/>
    </row>
    <row r="479" ht="15.75" customHeight="1">
      <c r="C479" s="63"/>
    </row>
    <row r="480" ht="15.75" customHeight="1">
      <c r="C480" s="63"/>
    </row>
    <row r="481" ht="15.75" customHeight="1">
      <c r="C481" s="63"/>
    </row>
    <row r="482" ht="15.75" customHeight="1">
      <c r="C482" s="63"/>
    </row>
    <row r="483" ht="15.75" customHeight="1">
      <c r="C483" s="63"/>
    </row>
    <row r="484" ht="15.75" customHeight="1">
      <c r="C484" s="63"/>
    </row>
    <row r="485" ht="15.75" customHeight="1">
      <c r="C485" s="63"/>
    </row>
    <row r="486" ht="15.75" customHeight="1">
      <c r="C486" s="63"/>
    </row>
    <row r="487" ht="15.75" customHeight="1">
      <c r="C487" s="63"/>
    </row>
    <row r="488" ht="15.75" customHeight="1">
      <c r="C488" s="63"/>
    </row>
    <row r="489" ht="15.75" customHeight="1">
      <c r="C489" s="63"/>
    </row>
    <row r="490" ht="15.75" customHeight="1">
      <c r="C490" s="63"/>
    </row>
    <row r="491" ht="15.75" customHeight="1">
      <c r="C491" s="63"/>
    </row>
    <row r="492" ht="15.75" customHeight="1">
      <c r="C492" s="63"/>
    </row>
    <row r="493" ht="15.75" customHeight="1">
      <c r="C493" s="63"/>
    </row>
    <row r="494" ht="15.75" customHeight="1">
      <c r="C494" s="63"/>
    </row>
    <row r="495" ht="15.75" customHeight="1">
      <c r="C495" s="63"/>
    </row>
    <row r="496" ht="15.75" customHeight="1">
      <c r="C496" s="63"/>
    </row>
    <row r="497" ht="15.75" customHeight="1">
      <c r="C497" s="63"/>
    </row>
    <row r="498" ht="15.75" customHeight="1">
      <c r="C498" s="63"/>
    </row>
    <row r="499" ht="15.75" customHeight="1">
      <c r="C499" s="63"/>
    </row>
    <row r="500" ht="15.75" customHeight="1">
      <c r="C500" s="63"/>
    </row>
    <row r="501" ht="15.75" customHeight="1">
      <c r="C501" s="63"/>
    </row>
    <row r="502" ht="15.75" customHeight="1">
      <c r="C502" s="63"/>
    </row>
    <row r="503" ht="15.75" customHeight="1">
      <c r="C503" s="63"/>
    </row>
    <row r="504" ht="15.75" customHeight="1">
      <c r="C504" s="63"/>
    </row>
    <row r="505" ht="15.75" customHeight="1">
      <c r="C505" s="63"/>
    </row>
    <row r="506" ht="15.75" customHeight="1">
      <c r="C506" s="63"/>
    </row>
    <row r="507" ht="15.75" customHeight="1">
      <c r="C507" s="63"/>
    </row>
    <row r="508" ht="15.75" customHeight="1">
      <c r="C508" s="63"/>
    </row>
    <row r="509" ht="15.75" customHeight="1">
      <c r="C509" s="63"/>
    </row>
    <row r="510" ht="15.75" customHeight="1">
      <c r="C510" s="63"/>
    </row>
    <row r="511" ht="15.75" customHeight="1">
      <c r="C511" s="63"/>
    </row>
    <row r="512" ht="15.75" customHeight="1">
      <c r="C512" s="63"/>
    </row>
    <row r="513" ht="15.75" customHeight="1">
      <c r="C513" s="63"/>
    </row>
    <row r="514" ht="15.75" customHeight="1">
      <c r="C514" s="63"/>
    </row>
    <row r="515" ht="15.75" customHeight="1">
      <c r="C515" s="63"/>
    </row>
    <row r="516" ht="15.75" customHeight="1">
      <c r="C516" s="63"/>
    </row>
    <row r="517" ht="15.75" customHeight="1">
      <c r="C517" s="63"/>
    </row>
    <row r="518" ht="15.75" customHeight="1">
      <c r="C518" s="63"/>
    </row>
    <row r="519" ht="15.75" customHeight="1">
      <c r="C519" s="63"/>
    </row>
    <row r="520" ht="15.75" customHeight="1">
      <c r="C520" s="63"/>
    </row>
    <row r="521" ht="15.75" customHeight="1">
      <c r="C521" s="63"/>
    </row>
    <row r="522" ht="15.75" customHeight="1">
      <c r="C522" s="63"/>
    </row>
    <row r="523" ht="15.75" customHeight="1">
      <c r="C523" s="63"/>
    </row>
    <row r="524" ht="15.75" customHeight="1">
      <c r="C524" s="63"/>
    </row>
    <row r="525" ht="15.75" customHeight="1">
      <c r="C525" s="63"/>
    </row>
    <row r="526" ht="15.75" customHeight="1">
      <c r="C526" s="63"/>
    </row>
    <row r="527" ht="15.75" customHeight="1">
      <c r="C527" s="63"/>
    </row>
    <row r="528" ht="15.75" customHeight="1">
      <c r="C528" s="63"/>
    </row>
    <row r="529" ht="15.75" customHeight="1">
      <c r="C529" s="63"/>
    </row>
    <row r="530" ht="15.75" customHeight="1">
      <c r="C530" s="63"/>
    </row>
    <row r="531" ht="15.75" customHeight="1">
      <c r="C531" s="63"/>
    </row>
    <row r="532" ht="15.75" customHeight="1">
      <c r="C532" s="63"/>
    </row>
    <row r="533" ht="15.75" customHeight="1">
      <c r="C533" s="63"/>
    </row>
    <row r="534" ht="15.75" customHeight="1">
      <c r="C534" s="63"/>
    </row>
    <row r="535" ht="15.75" customHeight="1">
      <c r="C535" s="63"/>
    </row>
    <row r="536" ht="15.75" customHeight="1">
      <c r="C536" s="63"/>
    </row>
    <row r="537" ht="15.75" customHeight="1">
      <c r="C537" s="63"/>
    </row>
    <row r="538" ht="15.75" customHeight="1">
      <c r="C538" s="63"/>
    </row>
    <row r="539" ht="15.75" customHeight="1">
      <c r="C539" s="63"/>
    </row>
    <row r="540" ht="15.75" customHeight="1">
      <c r="C540" s="63"/>
    </row>
    <row r="541" ht="15.75" customHeight="1">
      <c r="C541" s="63"/>
    </row>
    <row r="542" ht="15.75" customHeight="1">
      <c r="C542" s="63"/>
    </row>
    <row r="543" ht="15.75" customHeight="1">
      <c r="C543" s="63"/>
    </row>
    <row r="544" ht="15.75" customHeight="1">
      <c r="C544" s="63"/>
    </row>
    <row r="545" ht="15.75" customHeight="1">
      <c r="C545" s="63"/>
    </row>
    <row r="546" ht="15.75" customHeight="1">
      <c r="C546" s="63"/>
    </row>
    <row r="547" ht="15.75" customHeight="1">
      <c r="C547" s="63"/>
    </row>
    <row r="548" ht="15.75" customHeight="1">
      <c r="C548" s="63"/>
    </row>
    <row r="549" ht="15.75" customHeight="1">
      <c r="C549" s="63"/>
    </row>
    <row r="550" ht="15.75" customHeight="1">
      <c r="C550" s="63"/>
    </row>
    <row r="551" ht="15.75" customHeight="1">
      <c r="C551" s="63"/>
    </row>
    <row r="552" ht="15.75" customHeight="1">
      <c r="C552" s="63"/>
    </row>
    <row r="553" ht="15.75" customHeight="1">
      <c r="C553" s="63"/>
    </row>
    <row r="554" ht="15.75" customHeight="1">
      <c r="C554" s="63"/>
    </row>
    <row r="555" ht="15.75" customHeight="1">
      <c r="C555" s="63"/>
    </row>
    <row r="556" ht="15.75" customHeight="1">
      <c r="C556" s="63"/>
    </row>
    <row r="557" ht="15.75" customHeight="1">
      <c r="C557" s="63"/>
    </row>
    <row r="558" ht="15.75" customHeight="1">
      <c r="C558" s="63"/>
    </row>
    <row r="559" ht="15.75" customHeight="1">
      <c r="C559" s="63"/>
    </row>
    <row r="560" ht="15.75" customHeight="1">
      <c r="C560" s="63"/>
    </row>
    <row r="561" ht="15.75" customHeight="1">
      <c r="C561" s="63"/>
    </row>
    <row r="562" ht="15.75" customHeight="1">
      <c r="C562" s="63"/>
    </row>
    <row r="563" ht="15.75" customHeight="1">
      <c r="C563" s="63"/>
    </row>
    <row r="564" ht="15.75" customHeight="1">
      <c r="C564" s="63"/>
    </row>
    <row r="565" ht="15.75" customHeight="1">
      <c r="C565" s="63"/>
    </row>
    <row r="566" ht="15.75" customHeight="1">
      <c r="C566" s="63"/>
    </row>
    <row r="567" ht="15.75" customHeight="1">
      <c r="C567" s="63"/>
    </row>
    <row r="568" ht="15.75" customHeight="1">
      <c r="C568" s="63"/>
    </row>
    <row r="569" ht="15.75" customHeight="1">
      <c r="C569" s="63"/>
    </row>
    <row r="570" ht="15.75" customHeight="1">
      <c r="C570" s="63"/>
    </row>
    <row r="571" ht="15.75" customHeight="1">
      <c r="C571" s="63"/>
    </row>
    <row r="572" ht="15.75" customHeight="1">
      <c r="C572" s="63"/>
    </row>
    <row r="573" ht="15.75" customHeight="1">
      <c r="C573" s="63"/>
    </row>
    <row r="574" ht="15.75" customHeight="1">
      <c r="C574" s="63"/>
    </row>
    <row r="575" ht="15.75" customHeight="1">
      <c r="C575" s="63"/>
    </row>
    <row r="576" ht="15.75" customHeight="1">
      <c r="C576" s="63"/>
    </row>
    <row r="577" ht="15.75" customHeight="1">
      <c r="C577" s="63"/>
    </row>
    <row r="578" ht="15.75" customHeight="1">
      <c r="C578" s="63"/>
    </row>
    <row r="579" ht="15.75" customHeight="1">
      <c r="C579" s="63"/>
    </row>
    <row r="580" ht="15.75" customHeight="1">
      <c r="C580" s="63"/>
    </row>
    <row r="581" ht="15.75" customHeight="1">
      <c r="C581" s="63"/>
    </row>
    <row r="582" ht="15.75" customHeight="1">
      <c r="C582" s="63"/>
    </row>
    <row r="583" ht="15.75" customHeight="1">
      <c r="C583" s="63"/>
    </row>
    <row r="584" ht="15.75" customHeight="1">
      <c r="C584" s="63"/>
    </row>
    <row r="585" ht="15.75" customHeight="1">
      <c r="C585" s="63"/>
    </row>
    <row r="586" ht="15.75" customHeight="1">
      <c r="C586" s="63"/>
    </row>
    <row r="587" ht="15.75" customHeight="1">
      <c r="C587" s="63"/>
    </row>
    <row r="588" ht="15.75" customHeight="1">
      <c r="C588" s="63"/>
    </row>
    <row r="589" ht="15.75" customHeight="1">
      <c r="C589" s="63"/>
    </row>
    <row r="590" ht="15.75" customHeight="1">
      <c r="C590" s="63"/>
    </row>
    <row r="591" ht="15.75" customHeight="1">
      <c r="C591" s="63"/>
    </row>
    <row r="592" ht="15.75" customHeight="1">
      <c r="C592" s="63"/>
    </row>
    <row r="593" ht="15.75" customHeight="1">
      <c r="C593" s="63"/>
    </row>
    <row r="594" ht="15.75" customHeight="1">
      <c r="C594" s="63"/>
    </row>
    <row r="595" ht="15.75" customHeight="1">
      <c r="C595" s="63"/>
    </row>
    <row r="596" ht="15.75" customHeight="1">
      <c r="C596" s="63"/>
    </row>
    <row r="597" ht="15.75" customHeight="1">
      <c r="C597" s="63"/>
    </row>
    <row r="598" ht="15.75" customHeight="1">
      <c r="C598" s="63"/>
    </row>
    <row r="599" ht="15.75" customHeight="1">
      <c r="C599" s="63"/>
    </row>
    <row r="600" ht="15.75" customHeight="1">
      <c r="C600" s="63"/>
    </row>
    <row r="601" ht="15.75" customHeight="1">
      <c r="C601" s="63"/>
    </row>
    <row r="602" ht="15.75" customHeight="1">
      <c r="C602" s="63"/>
    </row>
    <row r="603" ht="15.75" customHeight="1">
      <c r="C603" s="63"/>
    </row>
    <row r="604" ht="15.75" customHeight="1">
      <c r="C604" s="63"/>
    </row>
    <row r="605" ht="15.75" customHeight="1">
      <c r="C605" s="63"/>
    </row>
    <row r="606" ht="15.75" customHeight="1">
      <c r="C606" s="63"/>
    </row>
    <row r="607" ht="15.75" customHeight="1">
      <c r="C607" s="63"/>
    </row>
    <row r="608" ht="15.75" customHeight="1">
      <c r="C608" s="63"/>
    </row>
    <row r="609" ht="15.75" customHeight="1">
      <c r="C609" s="63"/>
    </row>
    <row r="610" ht="15.75" customHeight="1">
      <c r="C610" s="63"/>
    </row>
    <row r="611" ht="15.75" customHeight="1">
      <c r="C611" s="63"/>
    </row>
    <row r="612" ht="15.75" customHeight="1">
      <c r="C612" s="63"/>
    </row>
    <row r="613" ht="15.75" customHeight="1">
      <c r="C613" s="63"/>
    </row>
    <row r="614" ht="15.75" customHeight="1">
      <c r="C614" s="63"/>
    </row>
    <row r="615" ht="15.75" customHeight="1">
      <c r="C615" s="63"/>
    </row>
    <row r="616" ht="15.75" customHeight="1">
      <c r="C616" s="63"/>
    </row>
    <row r="617" ht="15.75" customHeight="1">
      <c r="C617" s="63"/>
    </row>
    <row r="618" ht="15.75" customHeight="1">
      <c r="C618" s="63"/>
    </row>
    <row r="619" ht="15.75" customHeight="1">
      <c r="C619" s="63"/>
    </row>
    <row r="620" ht="15.75" customHeight="1">
      <c r="C620" s="63"/>
    </row>
    <row r="621" ht="15.75" customHeight="1">
      <c r="C621" s="63"/>
    </row>
    <row r="622" ht="15.75" customHeight="1">
      <c r="C622" s="63"/>
    </row>
    <row r="623" ht="15.75" customHeight="1">
      <c r="C623" s="63"/>
    </row>
    <row r="624" ht="15.75" customHeight="1">
      <c r="C624" s="63"/>
    </row>
    <row r="625" ht="15.75" customHeight="1">
      <c r="C625" s="63"/>
    </row>
    <row r="626" ht="15.75" customHeight="1">
      <c r="C626" s="63"/>
    </row>
    <row r="627" ht="15.75" customHeight="1">
      <c r="C627" s="63"/>
    </row>
    <row r="628" ht="15.75" customHeight="1">
      <c r="C628" s="63"/>
    </row>
    <row r="629" ht="15.75" customHeight="1">
      <c r="C629" s="63"/>
    </row>
    <row r="630" ht="15.75" customHeight="1">
      <c r="C630" s="63"/>
    </row>
    <row r="631" ht="15.75" customHeight="1">
      <c r="C631" s="63"/>
    </row>
    <row r="632" ht="15.75" customHeight="1">
      <c r="C632" s="63"/>
    </row>
    <row r="633" ht="15.75" customHeight="1">
      <c r="C633" s="63"/>
    </row>
    <row r="634" ht="15.75" customHeight="1">
      <c r="C634" s="63"/>
    </row>
    <row r="635" ht="15.75" customHeight="1">
      <c r="C635" s="63"/>
    </row>
    <row r="636" ht="15.75" customHeight="1">
      <c r="C636" s="63"/>
    </row>
    <row r="637" ht="15.75" customHeight="1">
      <c r="C637" s="63"/>
    </row>
    <row r="638" ht="15.75" customHeight="1">
      <c r="C638" s="63"/>
    </row>
    <row r="639" ht="15.75" customHeight="1">
      <c r="C639" s="63"/>
    </row>
    <row r="640" ht="15.75" customHeight="1">
      <c r="C640" s="63"/>
    </row>
    <row r="641" ht="15.75" customHeight="1">
      <c r="C641" s="63"/>
    </row>
    <row r="642" ht="15.75" customHeight="1">
      <c r="C642" s="63"/>
    </row>
    <row r="643" ht="15.75" customHeight="1">
      <c r="C643" s="63"/>
    </row>
    <row r="644" ht="15.75" customHeight="1">
      <c r="C644" s="63"/>
    </row>
    <row r="645" ht="15.75" customHeight="1">
      <c r="C645" s="63"/>
    </row>
    <row r="646" ht="15.75" customHeight="1">
      <c r="C646" s="63"/>
    </row>
    <row r="647" ht="15.75" customHeight="1">
      <c r="C647" s="63"/>
    </row>
    <row r="648" ht="15.75" customHeight="1">
      <c r="C648" s="63"/>
    </row>
    <row r="649" ht="15.75" customHeight="1">
      <c r="C649" s="63"/>
    </row>
    <row r="650" ht="15.75" customHeight="1">
      <c r="C650" s="63"/>
    </row>
    <row r="651" ht="15.75" customHeight="1">
      <c r="C651" s="63"/>
    </row>
    <row r="652" ht="15.75" customHeight="1">
      <c r="C652" s="63"/>
    </row>
    <row r="653" ht="15.75" customHeight="1">
      <c r="C653" s="63"/>
    </row>
    <row r="654" ht="15.75" customHeight="1">
      <c r="C654" s="63"/>
    </row>
    <row r="655" ht="15.75" customHeight="1">
      <c r="C655" s="63"/>
    </row>
    <row r="656" ht="15.75" customHeight="1">
      <c r="C656" s="63"/>
    </row>
    <row r="657" ht="15.75" customHeight="1">
      <c r="C657" s="63"/>
    </row>
    <row r="658" ht="15.75" customHeight="1">
      <c r="C658" s="63"/>
    </row>
    <row r="659" ht="15.75" customHeight="1">
      <c r="C659" s="63"/>
    </row>
    <row r="660" ht="15.75" customHeight="1">
      <c r="C660" s="63"/>
    </row>
    <row r="661" ht="15.75" customHeight="1">
      <c r="C661" s="63"/>
    </row>
    <row r="662" ht="15.75" customHeight="1">
      <c r="C662" s="63"/>
    </row>
    <row r="663" ht="15.75" customHeight="1">
      <c r="C663" s="63"/>
    </row>
    <row r="664" ht="15.75" customHeight="1">
      <c r="C664" s="63"/>
    </row>
    <row r="665" ht="15.75" customHeight="1">
      <c r="C665" s="63"/>
    </row>
    <row r="666" ht="15.75" customHeight="1">
      <c r="C666" s="63"/>
    </row>
    <row r="667" ht="15.75" customHeight="1">
      <c r="C667" s="63"/>
    </row>
    <row r="668" ht="15.75" customHeight="1">
      <c r="C668" s="63"/>
    </row>
    <row r="669" ht="15.75" customHeight="1">
      <c r="C669" s="63"/>
    </row>
    <row r="670" ht="15.75" customHeight="1">
      <c r="C670" s="63"/>
    </row>
    <row r="671" ht="15.75" customHeight="1">
      <c r="C671" s="63"/>
    </row>
    <row r="672" ht="15.75" customHeight="1">
      <c r="C672" s="63"/>
    </row>
    <row r="673" ht="15.75" customHeight="1">
      <c r="C673" s="63"/>
    </row>
    <row r="674" ht="15.75" customHeight="1">
      <c r="C674" s="63"/>
    </row>
    <row r="675" ht="15.75" customHeight="1">
      <c r="C675" s="63"/>
    </row>
    <row r="676" ht="15.75" customHeight="1">
      <c r="C676" s="63"/>
    </row>
    <row r="677" ht="15.75" customHeight="1">
      <c r="C677" s="63"/>
    </row>
    <row r="678" ht="15.75" customHeight="1">
      <c r="C678" s="63"/>
    </row>
    <row r="679" ht="15.75" customHeight="1">
      <c r="C679" s="63"/>
    </row>
    <row r="680" ht="15.75" customHeight="1">
      <c r="C680" s="63"/>
    </row>
    <row r="681" ht="15.75" customHeight="1">
      <c r="C681" s="63"/>
    </row>
    <row r="682" ht="15.75" customHeight="1">
      <c r="C682" s="63"/>
    </row>
    <row r="683" ht="15.75" customHeight="1">
      <c r="C683" s="63"/>
    </row>
    <row r="684" ht="15.75" customHeight="1">
      <c r="C684" s="63"/>
    </row>
    <row r="685" ht="15.75" customHeight="1">
      <c r="C685" s="63"/>
    </row>
    <row r="686" ht="15.75" customHeight="1">
      <c r="C686" s="63"/>
    </row>
    <row r="687" ht="15.75" customHeight="1">
      <c r="C687" s="63"/>
    </row>
    <row r="688" ht="15.75" customHeight="1">
      <c r="C688" s="63"/>
    </row>
    <row r="689" ht="15.75" customHeight="1">
      <c r="C689" s="63"/>
    </row>
    <row r="690" ht="15.75" customHeight="1">
      <c r="C690" s="63"/>
    </row>
    <row r="691" ht="15.75" customHeight="1">
      <c r="C691" s="63"/>
    </row>
    <row r="692" ht="15.75" customHeight="1">
      <c r="C692" s="63"/>
    </row>
    <row r="693" ht="15.75" customHeight="1">
      <c r="C693" s="63"/>
    </row>
    <row r="694" ht="15.75" customHeight="1">
      <c r="C694" s="63"/>
    </row>
    <row r="695" ht="15.75" customHeight="1">
      <c r="C695" s="63"/>
    </row>
    <row r="696" ht="15.75" customHeight="1">
      <c r="C696" s="63"/>
    </row>
    <row r="697" ht="15.75" customHeight="1">
      <c r="C697" s="63"/>
    </row>
    <row r="698" ht="15.75" customHeight="1">
      <c r="C698" s="63"/>
    </row>
    <row r="699" ht="15.75" customHeight="1">
      <c r="C699" s="63"/>
    </row>
    <row r="700" ht="15.75" customHeight="1">
      <c r="C700" s="63"/>
    </row>
    <row r="701" ht="15.75" customHeight="1">
      <c r="C701" s="63"/>
    </row>
    <row r="702" ht="15.75" customHeight="1">
      <c r="C702" s="63"/>
    </row>
    <row r="703" ht="15.75" customHeight="1">
      <c r="C703" s="63"/>
    </row>
    <row r="704" ht="15.75" customHeight="1">
      <c r="C704" s="63"/>
    </row>
    <row r="705" ht="15.75" customHeight="1">
      <c r="C705" s="63"/>
    </row>
    <row r="706" ht="15.75" customHeight="1">
      <c r="C706" s="63"/>
    </row>
    <row r="707" ht="15.75" customHeight="1">
      <c r="C707" s="63"/>
    </row>
    <row r="708" ht="15.75" customHeight="1">
      <c r="C708" s="63"/>
    </row>
    <row r="709" ht="15.75" customHeight="1">
      <c r="C709" s="63"/>
    </row>
    <row r="710" ht="15.75" customHeight="1">
      <c r="C710" s="63"/>
    </row>
    <row r="711" ht="15.75" customHeight="1">
      <c r="C711" s="63"/>
    </row>
    <row r="712" ht="15.75" customHeight="1">
      <c r="C712" s="63"/>
    </row>
    <row r="713" ht="15.75" customHeight="1">
      <c r="C713" s="63"/>
    </row>
    <row r="714" ht="15.75" customHeight="1">
      <c r="C714" s="63"/>
    </row>
    <row r="715" ht="15.75" customHeight="1">
      <c r="C715" s="63"/>
    </row>
    <row r="716" ht="15.75" customHeight="1">
      <c r="C716" s="63"/>
    </row>
    <row r="717" ht="15.75" customHeight="1">
      <c r="C717" s="63"/>
    </row>
    <row r="718" ht="15.75" customHeight="1">
      <c r="C718" s="63"/>
    </row>
    <row r="719" ht="15.75" customHeight="1">
      <c r="C719" s="63"/>
    </row>
    <row r="720" ht="15.75" customHeight="1">
      <c r="C720" s="63"/>
    </row>
    <row r="721" ht="15.75" customHeight="1">
      <c r="C721" s="63"/>
    </row>
    <row r="722" ht="15.75" customHeight="1">
      <c r="C722" s="63"/>
    </row>
    <row r="723" ht="15.75" customHeight="1">
      <c r="C723" s="63"/>
    </row>
    <row r="724" ht="15.75" customHeight="1">
      <c r="C724" s="63"/>
    </row>
    <row r="725" ht="15.75" customHeight="1">
      <c r="C725" s="63"/>
    </row>
    <row r="726" ht="15.75" customHeight="1">
      <c r="C726" s="63"/>
    </row>
    <row r="727" ht="15.75" customHeight="1">
      <c r="C727" s="63"/>
    </row>
    <row r="728" ht="15.75" customHeight="1">
      <c r="C728" s="63"/>
    </row>
    <row r="729" ht="15.75" customHeight="1">
      <c r="C729" s="63"/>
    </row>
    <row r="730" ht="15.75" customHeight="1">
      <c r="C730" s="63"/>
    </row>
    <row r="731" ht="15.75" customHeight="1">
      <c r="C731" s="63"/>
    </row>
    <row r="732" ht="15.75" customHeight="1">
      <c r="C732" s="63"/>
    </row>
    <row r="733" ht="15.75" customHeight="1">
      <c r="C733" s="63"/>
    </row>
    <row r="734" ht="15.75" customHeight="1">
      <c r="C734" s="63"/>
    </row>
    <row r="735" ht="15.75" customHeight="1">
      <c r="C735" s="63"/>
    </row>
    <row r="736" ht="15.75" customHeight="1">
      <c r="C736" s="63"/>
    </row>
    <row r="737" ht="15.75" customHeight="1">
      <c r="C737" s="63"/>
    </row>
    <row r="738" ht="15.75" customHeight="1">
      <c r="C738" s="63"/>
    </row>
    <row r="739" ht="15.75" customHeight="1">
      <c r="C739" s="63"/>
    </row>
    <row r="740" ht="15.75" customHeight="1">
      <c r="C740" s="63"/>
    </row>
    <row r="741" ht="15.75" customHeight="1">
      <c r="C741" s="63"/>
    </row>
    <row r="742" ht="15.75" customHeight="1">
      <c r="C742" s="63"/>
    </row>
    <row r="743" ht="15.75" customHeight="1">
      <c r="C743" s="63"/>
    </row>
    <row r="744" ht="15.75" customHeight="1">
      <c r="C744" s="63"/>
    </row>
    <row r="745" ht="15.75" customHeight="1">
      <c r="C745" s="63"/>
    </row>
    <row r="746" ht="15.75" customHeight="1">
      <c r="C746" s="63"/>
    </row>
    <row r="747" ht="15.75" customHeight="1">
      <c r="C747" s="63"/>
    </row>
    <row r="748" ht="15.75" customHeight="1">
      <c r="C748" s="63"/>
    </row>
    <row r="749" ht="15.75" customHeight="1">
      <c r="C749" s="63"/>
    </row>
    <row r="750" ht="15.75" customHeight="1">
      <c r="C750" s="63"/>
    </row>
    <row r="751" ht="15.75" customHeight="1">
      <c r="C751" s="63"/>
    </row>
    <row r="752" ht="15.75" customHeight="1">
      <c r="C752" s="63"/>
    </row>
    <row r="753" ht="15.75" customHeight="1">
      <c r="C753" s="63"/>
    </row>
    <row r="754" ht="15.75" customHeight="1">
      <c r="C754" s="63"/>
    </row>
    <row r="755" ht="15.75" customHeight="1">
      <c r="C755" s="63"/>
    </row>
    <row r="756" ht="15.75" customHeight="1">
      <c r="C756" s="63"/>
    </row>
    <row r="757" ht="15.75" customHeight="1">
      <c r="C757" s="63"/>
    </row>
    <row r="758" ht="15.75" customHeight="1">
      <c r="C758" s="63"/>
    </row>
    <row r="759" ht="15.75" customHeight="1">
      <c r="C759" s="63"/>
    </row>
    <row r="760" ht="15.75" customHeight="1">
      <c r="C760" s="63"/>
    </row>
    <row r="761" ht="15.75" customHeight="1">
      <c r="C761" s="63"/>
    </row>
    <row r="762" ht="15.75" customHeight="1">
      <c r="C762" s="63"/>
    </row>
    <row r="763" ht="15.75" customHeight="1">
      <c r="C763" s="63"/>
    </row>
    <row r="764" ht="15.75" customHeight="1">
      <c r="C764" s="63"/>
    </row>
    <row r="765" ht="15.75" customHeight="1">
      <c r="C765" s="63"/>
    </row>
    <row r="766" ht="15.75" customHeight="1">
      <c r="C766" s="63"/>
    </row>
    <row r="767" ht="15.75" customHeight="1">
      <c r="C767" s="63"/>
    </row>
    <row r="768" ht="15.75" customHeight="1">
      <c r="C768" s="63"/>
    </row>
    <row r="769" ht="15.75" customHeight="1">
      <c r="C769" s="63"/>
    </row>
    <row r="770" ht="15.75" customHeight="1">
      <c r="C770" s="63"/>
    </row>
    <row r="771" ht="15.75" customHeight="1">
      <c r="C771" s="63"/>
    </row>
    <row r="772" ht="15.75" customHeight="1">
      <c r="C772" s="63"/>
    </row>
    <row r="773" ht="15.75" customHeight="1">
      <c r="C773" s="63"/>
    </row>
    <row r="774" ht="15.75" customHeight="1">
      <c r="C774" s="63"/>
    </row>
    <row r="775" ht="15.75" customHeight="1">
      <c r="C775" s="63"/>
    </row>
    <row r="776" ht="15.75" customHeight="1">
      <c r="C776" s="63"/>
    </row>
    <row r="777" ht="15.75" customHeight="1">
      <c r="C777" s="63"/>
    </row>
    <row r="778" ht="15.75" customHeight="1">
      <c r="C778" s="63"/>
    </row>
    <row r="779" ht="15.75" customHeight="1">
      <c r="C779" s="63"/>
    </row>
    <row r="780" ht="15.75" customHeight="1">
      <c r="C780" s="63"/>
    </row>
    <row r="781" ht="15.75" customHeight="1">
      <c r="C781" s="63"/>
    </row>
    <row r="782" ht="15.75" customHeight="1">
      <c r="C782" s="63"/>
    </row>
    <row r="783" ht="15.75" customHeight="1">
      <c r="C783" s="63"/>
    </row>
    <row r="784" ht="15.75" customHeight="1">
      <c r="C784" s="63"/>
    </row>
    <row r="785" ht="15.75" customHeight="1">
      <c r="C785" s="63"/>
    </row>
    <row r="786" ht="15.75" customHeight="1">
      <c r="C786" s="63"/>
    </row>
    <row r="787" ht="15.75" customHeight="1">
      <c r="C787" s="63"/>
    </row>
    <row r="788" ht="15.75" customHeight="1">
      <c r="C788" s="63"/>
    </row>
    <row r="789" ht="15.75" customHeight="1">
      <c r="C789" s="63"/>
    </row>
    <row r="790" ht="15.75" customHeight="1">
      <c r="C790" s="63"/>
    </row>
    <row r="791" ht="15.75" customHeight="1">
      <c r="C791" s="63"/>
    </row>
    <row r="792" ht="15.75" customHeight="1">
      <c r="C792" s="63"/>
    </row>
    <row r="793" ht="15.75" customHeight="1">
      <c r="C793" s="63"/>
    </row>
    <row r="794" ht="15.75" customHeight="1">
      <c r="C794" s="63"/>
    </row>
    <row r="795" ht="15.75" customHeight="1">
      <c r="C795" s="63"/>
    </row>
    <row r="796" ht="15.75" customHeight="1">
      <c r="C796" s="63"/>
    </row>
    <row r="797" ht="15.75" customHeight="1">
      <c r="C797" s="63"/>
    </row>
    <row r="798" ht="15.75" customHeight="1">
      <c r="C798" s="63"/>
    </row>
    <row r="799" ht="15.75" customHeight="1">
      <c r="C799" s="63"/>
    </row>
    <row r="800" ht="15.75" customHeight="1">
      <c r="C800" s="63"/>
    </row>
    <row r="801" ht="15.75" customHeight="1">
      <c r="C801" s="63"/>
    </row>
    <row r="802" ht="15.75" customHeight="1">
      <c r="C802" s="63"/>
    </row>
    <row r="803" ht="15.75" customHeight="1">
      <c r="C803" s="63"/>
    </row>
    <row r="804" ht="15.75" customHeight="1">
      <c r="C804" s="63"/>
    </row>
    <row r="805" ht="15.75" customHeight="1">
      <c r="C805" s="63"/>
    </row>
    <row r="806" ht="15.75" customHeight="1">
      <c r="C806" s="63"/>
    </row>
    <row r="807" ht="15.75" customHeight="1">
      <c r="C807" s="63"/>
    </row>
    <row r="808" ht="15.75" customHeight="1">
      <c r="C808" s="63"/>
    </row>
    <row r="809" ht="15.75" customHeight="1">
      <c r="C809" s="63"/>
    </row>
    <row r="810" ht="15.75" customHeight="1">
      <c r="C810" s="63"/>
    </row>
    <row r="811" ht="15.75" customHeight="1">
      <c r="C811" s="63"/>
    </row>
    <row r="812" ht="15.75" customHeight="1">
      <c r="C812" s="63"/>
    </row>
    <row r="813" ht="15.75" customHeight="1">
      <c r="C813" s="63"/>
    </row>
    <row r="814" ht="15.75" customHeight="1">
      <c r="C814" s="63"/>
    </row>
    <row r="815" ht="15.75" customHeight="1">
      <c r="C815" s="63"/>
    </row>
    <row r="816" ht="15.75" customHeight="1">
      <c r="C816" s="63"/>
    </row>
    <row r="817" ht="15.75" customHeight="1">
      <c r="C817" s="63"/>
    </row>
    <row r="818" ht="15.75" customHeight="1">
      <c r="C818" s="63"/>
    </row>
    <row r="819" ht="15.75" customHeight="1">
      <c r="C819" s="63"/>
    </row>
    <row r="820" ht="15.75" customHeight="1">
      <c r="C820" s="63"/>
    </row>
    <row r="821" ht="15.75" customHeight="1">
      <c r="C821" s="63"/>
    </row>
    <row r="822" ht="15.75" customHeight="1">
      <c r="C822" s="63"/>
    </row>
    <row r="823" ht="15.75" customHeight="1">
      <c r="C823" s="63"/>
    </row>
    <row r="824" ht="15.75" customHeight="1">
      <c r="C824" s="63"/>
    </row>
    <row r="825" ht="15.75" customHeight="1">
      <c r="C825" s="63"/>
    </row>
    <row r="826" ht="15.75" customHeight="1">
      <c r="C826" s="63"/>
    </row>
    <row r="827" ht="15.75" customHeight="1">
      <c r="C827" s="63"/>
    </row>
    <row r="828" ht="15.75" customHeight="1">
      <c r="C828" s="63"/>
    </row>
    <row r="829" ht="15.75" customHeight="1">
      <c r="C829" s="63"/>
    </row>
    <row r="830" ht="15.75" customHeight="1">
      <c r="C830" s="63"/>
    </row>
    <row r="831" ht="15.75" customHeight="1">
      <c r="C831" s="63"/>
    </row>
    <row r="832" ht="15.75" customHeight="1">
      <c r="C832" s="63"/>
    </row>
    <row r="833" ht="15.75" customHeight="1">
      <c r="C833" s="63"/>
    </row>
    <row r="834" ht="15.75" customHeight="1">
      <c r="C834" s="63"/>
    </row>
    <row r="835" ht="15.75" customHeight="1">
      <c r="C835" s="63"/>
    </row>
    <row r="836" ht="15.75" customHeight="1">
      <c r="C836" s="63"/>
    </row>
    <row r="837" ht="15.75" customHeight="1">
      <c r="C837" s="63"/>
    </row>
    <row r="838" ht="15.75" customHeight="1">
      <c r="C838" s="63"/>
    </row>
    <row r="839" ht="15.75" customHeight="1">
      <c r="C839" s="63"/>
    </row>
    <row r="840" ht="15.75" customHeight="1">
      <c r="C840" s="63"/>
    </row>
    <row r="841" ht="15.75" customHeight="1">
      <c r="C841" s="63"/>
    </row>
    <row r="842" ht="15.75" customHeight="1">
      <c r="C842" s="63"/>
    </row>
    <row r="843" ht="15.75" customHeight="1">
      <c r="C843" s="63"/>
    </row>
    <row r="844" ht="15.75" customHeight="1">
      <c r="C844" s="63"/>
    </row>
    <row r="845" ht="15.75" customHeight="1">
      <c r="C845" s="63"/>
    </row>
    <row r="846" ht="15.75" customHeight="1">
      <c r="C846" s="63"/>
    </row>
    <row r="847" ht="15.75" customHeight="1">
      <c r="C847" s="63"/>
    </row>
    <row r="848" ht="15.75" customHeight="1">
      <c r="C848" s="63"/>
    </row>
    <row r="849" ht="15.75" customHeight="1">
      <c r="C849" s="63"/>
    </row>
    <row r="850" ht="15.75" customHeight="1">
      <c r="C850" s="63"/>
    </row>
    <row r="851" ht="15.75" customHeight="1">
      <c r="C851" s="63"/>
    </row>
    <row r="852" ht="15.75" customHeight="1">
      <c r="C852" s="63"/>
    </row>
    <row r="853" ht="15.75" customHeight="1">
      <c r="C853" s="63"/>
    </row>
    <row r="854" ht="15.75" customHeight="1">
      <c r="C854" s="63"/>
    </row>
    <row r="855" ht="15.75" customHeight="1">
      <c r="C855" s="63"/>
    </row>
    <row r="856" ht="15.75" customHeight="1">
      <c r="C856" s="63"/>
    </row>
    <row r="857" ht="15.75" customHeight="1">
      <c r="C857" s="63"/>
    </row>
    <row r="858" ht="15.75" customHeight="1">
      <c r="C858" s="63"/>
    </row>
    <row r="859" ht="15.75" customHeight="1">
      <c r="C859" s="63"/>
    </row>
    <row r="860" ht="15.75" customHeight="1">
      <c r="C860" s="63"/>
    </row>
    <row r="861" ht="15.75" customHeight="1">
      <c r="C861" s="63"/>
    </row>
    <row r="862" ht="15.75" customHeight="1">
      <c r="C862" s="63"/>
    </row>
    <row r="863" ht="15.75" customHeight="1">
      <c r="C863" s="63"/>
    </row>
    <row r="864" ht="15.75" customHeight="1">
      <c r="C864" s="63"/>
    </row>
    <row r="865" ht="15.75" customHeight="1">
      <c r="C865" s="63"/>
    </row>
    <row r="866" ht="15.75" customHeight="1">
      <c r="C866" s="63"/>
    </row>
    <row r="867" ht="15.75" customHeight="1">
      <c r="C867" s="63"/>
    </row>
    <row r="868" ht="15.75" customHeight="1">
      <c r="C868" s="63"/>
    </row>
    <row r="869" ht="15.75" customHeight="1">
      <c r="C869" s="63"/>
    </row>
    <row r="870" ht="15.75" customHeight="1">
      <c r="C870" s="63"/>
    </row>
    <row r="871" ht="15.75" customHeight="1">
      <c r="C871" s="63"/>
    </row>
    <row r="872" ht="15.75" customHeight="1">
      <c r="C872" s="63"/>
    </row>
    <row r="873" ht="15.75" customHeight="1">
      <c r="C873" s="63"/>
    </row>
    <row r="874" ht="15.75" customHeight="1">
      <c r="C874" s="63"/>
    </row>
    <row r="875" ht="15.75" customHeight="1">
      <c r="C875" s="63"/>
    </row>
    <row r="876" ht="15.75" customHeight="1">
      <c r="C876" s="63"/>
    </row>
    <row r="877" ht="15.75" customHeight="1">
      <c r="C877" s="63"/>
    </row>
    <row r="878" ht="15.75" customHeight="1">
      <c r="C878" s="63"/>
    </row>
    <row r="879" ht="15.75" customHeight="1">
      <c r="C879" s="63"/>
    </row>
    <row r="880" ht="15.75" customHeight="1">
      <c r="C880" s="63"/>
    </row>
    <row r="881" ht="15.75" customHeight="1">
      <c r="C881" s="63"/>
    </row>
    <row r="882" ht="15.75" customHeight="1">
      <c r="C882" s="63"/>
    </row>
    <row r="883" ht="15.75" customHeight="1">
      <c r="C883" s="63"/>
    </row>
    <row r="884" ht="15.75" customHeight="1">
      <c r="C884" s="63"/>
    </row>
    <row r="885" ht="15.75" customHeight="1">
      <c r="C885" s="63"/>
    </row>
    <row r="886" ht="15.75" customHeight="1">
      <c r="C886" s="63"/>
    </row>
    <row r="887" ht="15.75" customHeight="1">
      <c r="C887" s="63"/>
    </row>
    <row r="888" ht="15.75" customHeight="1">
      <c r="C888" s="63"/>
    </row>
    <row r="889" ht="15.75" customHeight="1">
      <c r="C889" s="63"/>
    </row>
    <row r="890" ht="15.75" customHeight="1">
      <c r="C890" s="63"/>
    </row>
    <row r="891" ht="15.75" customHeight="1">
      <c r="C891" s="63"/>
    </row>
    <row r="892" ht="15.75" customHeight="1">
      <c r="C892" s="63"/>
    </row>
    <row r="893" ht="15.75" customHeight="1">
      <c r="C893" s="63"/>
    </row>
    <row r="894" ht="15.75" customHeight="1">
      <c r="C894" s="63"/>
    </row>
    <row r="895" ht="15.75" customHeight="1">
      <c r="C895" s="63"/>
    </row>
    <row r="896" ht="15.75" customHeight="1">
      <c r="C896" s="63"/>
    </row>
    <row r="897" ht="15.75" customHeight="1">
      <c r="C897" s="63"/>
    </row>
    <row r="898" ht="15.75" customHeight="1">
      <c r="C898" s="63"/>
    </row>
    <row r="899" ht="15.75" customHeight="1">
      <c r="C899" s="63"/>
    </row>
    <row r="900" ht="15.75" customHeight="1">
      <c r="C900" s="63"/>
    </row>
    <row r="901" ht="15.75" customHeight="1">
      <c r="C901" s="63"/>
    </row>
    <row r="902" ht="15.75" customHeight="1">
      <c r="C902" s="63"/>
    </row>
    <row r="903" ht="15.75" customHeight="1">
      <c r="C903" s="63"/>
    </row>
    <row r="904" ht="15.75" customHeight="1">
      <c r="C904" s="63"/>
    </row>
    <row r="905" ht="15.75" customHeight="1">
      <c r="C905" s="63"/>
    </row>
    <row r="906" ht="15.75" customHeight="1">
      <c r="C906" s="63"/>
    </row>
    <row r="907" ht="15.75" customHeight="1">
      <c r="C907" s="63"/>
    </row>
    <row r="908" ht="15.75" customHeight="1">
      <c r="C908" s="63"/>
    </row>
    <row r="909" ht="15.75" customHeight="1">
      <c r="C909" s="63"/>
    </row>
    <row r="910" ht="15.75" customHeight="1">
      <c r="C910" s="63"/>
    </row>
    <row r="911" ht="15.75" customHeight="1">
      <c r="C911" s="63"/>
    </row>
    <row r="912" ht="15.75" customHeight="1">
      <c r="C912" s="63"/>
    </row>
    <row r="913" ht="15.75" customHeight="1">
      <c r="C913" s="63"/>
    </row>
    <row r="914" ht="15.75" customHeight="1">
      <c r="C914" s="63"/>
    </row>
    <row r="915" ht="15.75" customHeight="1">
      <c r="C915" s="63"/>
    </row>
    <row r="916" ht="15.75" customHeight="1">
      <c r="C916" s="63"/>
    </row>
    <row r="917" ht="15.75" customHeight="1">
      <c r="C917" s="63"/>
    </row>
    <row r="918" ht="15.75" customHeight="1">
      <c r="C918" s="63"/>
    </row>
    <row r="919" ht="15.75" customHeight="1">
      <c r="C919" s="63"/>
    </row>
    <row r="920" ht="15.75" customHeight="1">
      <c r="C920" s="63"/>
    </row>
    <row r="921" ht="15.75" customHeight="1">
      <c r="C921" s="63"/>
    </row>
    <row r="922" ht="15.75" customHeight="1">
      <c r="C922" s="63"/>
    </row>
    <row r="923" ht="15.75" customHeight="1">
      <c r="C923" s="63"/>
    </row>
    <row r="924" ht="15.75" customHeight="1">
      <c r="C924" s="63"/>
    </row>
    <row r="925" ht="15.75" customHeight="1">
      <c r="C925" s="63"/>
    </row>
    <row r="926" ht="15.75" customHeight="1">
      <c r="C926" s="63"/>
    </row>
    <row r="927" ht="15.75" customHeight="1">
      <c r="C927" s="63"/>
    </row>
    <row r="928" ht="15.75" customHeight="1">
      <c r="C928" s="63"/>
    </row>
    <row r="929" ht="15.75" customHeight="1">
      <c r="C929" s="63"/>
    </row>
    <row r="930" ht="15.75" customHeight="1">
      <c r="C930" s="63"/>
    </row>
    <row r="931" ht="15.75" customHeight="1">
      <c r="C931" s="63"/>
    </row>
    <row r="932" ht="15.75" customHeight="1">
      <c r="C932" s="63"/>
    </row>
    <row r="933" ht="15.75" customHeight="1">
      <c r="C933" s="63"/>
    </row>
    <row r="934" ht="15.75" customHeight="1">
      <c r="C934" s="63"/>
    </row>
    <row r="935" ht="15.75" customHeight="1">
      <c r="C935" s="63"/>
    </row>
    <row r="936" ht="15.75" customHeight="1">
      <c r="C936" s="63"/>
    </row>
    <row r="937" ht="15.75" customHeight="1">
      <c r="C937" s="63"/>
    </row>
    <row r="938" ht="15.75" customHeight="1">
      <c r="C938" s="63"/>
    </row>
    <row r="939" ht="15.75" customHeight="1">
      <c r="C939" s="63"/>
    </row>
    <row r="940" ht="15.75" customHeight="1">
      <c r="C940" s="63"/>
    </row>
    <row r="941" ht="15.75" customHeight="1">
      <c r="C941" s="63"/>
    </row>
    <row r="942" ht="15.75" customHeight="1">
      <c r="C942" s="63"/>
    </row>
    <row r="943" ht="15.75" customHeight="1">
      <c r="C943" s="63"/>
    </row>
    <row r="944" ht="15.75" customHeight="1">
      <c r="C944" s="63"/>
    </row>
    <row r="945" ht="15.75" customHeight="1">
      <c r="C945" s="63"/>
    </row>
    <row r="946" ht="15.75" customHeight="1">
      <c r="C946" s="63"/>
    </row>
    <row r="947" ht="15.75" customHeight="1">
      <c r="C947" s="63"/>
    </row>
    <row r="948" ht="15.75" customHeight="1">
      <c r="C948" s="63"/>
    </row>
    <row r="949" ht="15.75" customHeight="1">
      <c r="C949" s="63"/>
    </row>
    <row r="950" ht="15.75" customHeight="1">
      <c r="C950" s="63"/>
    </row>
    <row r="951" ht="15.75" customHeight="1">
      <c r="C951" s="63"/>
    </row>
    <row r="952" ht="15.75" customHeight="1">
      <c r="C952" s="63"/>
    </row>
    <row r="953" ht="15.75" customHeight="1">
      <c r="C953" s="63"/>
    </row>
    <row r="954" ht="15.75" customHeight="1">
      <c r="C954" s="63"/>
    </row>
    <row r="955" ht="15.75" customHeight="1">
      <c r="C955" s="63"/>
    </row>
    <row r="956" ht="15.75" customHeight="1">
      <c r="C956" s="63"/>
    </row>
    <row r="957" ht="15.75" customHeight="1">
      <c r="C957" s="63"/>
    </row>
    <row r="958" ht="15.75" customHeight="1">
      <c r="C958" s="63"/>
    </row>
    <row r="959" ht="15.75" customHeight="1">
      <c r="C959" s="63"/>
    </row>
    <row r="960" ht="15.75" customHeight="1">
      <c r="C960" s="63"/>
    </row>
    <row r="961" ht="15.75" customHeight="1">
      <c r="C961" s="63"/>
    </row>
    <row r="962" ht="15.75" customHeight="1">
      <c r="C962" s="63"/>
    </row>
    <row r="963" ht="15.75" customHeight="1">
      <c r="C963" s="63"/>
    </row>
    <row r="964" ht="15.75" customHeight="1">
      <c r="C964" s="63"/>
    </row>
    <row r="965" ht="15.75" customHeight="1">
      <c r="C965" s="63"/>
    </row>
    <row r="966" ht="15.75" customHeight="1">
      <c r="C966" s="63"/>
    </row>
    <row r="967" ht="15.75" customHeight="1">
      <c r="C967" s="63"/>
    </row>
    <row r="968" ht="15.75" customHeight="1">
      <c r="C968" s="63"/>
    </row>
    <row r="969" ht="15.75" customHeight="1">
      <c r="C969" s="63"/>
    </row>
    <row r="970" ht="15.75" customHeight="1">
      <c r="C970" s="63"/>
    </row>
    <row r="971" ht="15.75" customHeight="1">
      <c r="C971" s="63"/>
    </row>
    <row r="972" ht="15.75" customHeight="1">
      <c r="C972" s="63"/>
    </row>
    <row r="973" ht="15.75" customHeight="1">
      <c r="C973" s="63"/>
    </row>
    <row r="974" ht="15.75" customHeight="1">
      <c r="C974" s="63"/>
    </row>
    <row r="975" ht="15.75" customHeight="1">
      <c r="C975" s="63"/>
    </row>
    <row r="976" ht="15.75" customHeight="1">
      <c r="C976" s="63"/>
    </row>
    <row r="977" ht="15.75" customHeight="1">
      <c r="C977" s="63"/>
    </row>
    <row r="978" ht="15.75" customHeight="1">
      <c r="C978" s="63"/>
    </row>
    <row r="979" ht="15.75" customHeight="1">
      <c r="C979" s="63"/>
    </row>
    <row r="980" ht="15.75" customHeight="1">
      <c r="C980" s="63"/>
    </row>
    <row r="981" ht="15.75" customHeight="1">
      <c r="C981" s="63"/>
    </row>
    <row r="982" ht="15.75" customHeight="1">
      <c r="C982" s="63"/>
    </row>
    <row r="983" ht="15.75" customHeight="1">
      <c r="C983" s="63"/>
    </row>
    <row r="984" ht="15.75" customHeight="1">
      <c r="C984" s="63"/>
    </row>
    <row r="985" ht="15.75" customHeight="1">
      <c r="C985" s="63"/>
    </row>
    <row r="986" ht="15.75" customHeight="1">
      <c r="C986" s="63"/>
    </row>
    <row r="987" ht="15.75" customHeight="1">
      <c r="C987" s="63"/>
    </row>
    <row r="988" ht="15.75" customHeight="1">
      <c r="C988" s="63"/>
    </row>
    <row r="989" ht="15.75" customHeight="1">
      <c r="C989" s="63"/>
    </row>
    <row r="990" ht="15.75" customHeight="1">
      <c r="C990" s="63"/>
    </row>
    <row r="991" ht="15.75" customHeight="1">
      <c r="C991" s="63"/>
    </row>
    <row r="992" ht="15.75" customHeight="1">
      <c r="C992" s="63"/>
    </row>
    <row r="993" ht="15.75" customHeight="1">
      <c r="C993" s="63"/>
    </row>
    <row r="994" ht="15.75" customHeight="1">
      <c r="C994" s="63"/>
    </row>
    <row r="995" ht="15.75" customHeight="1">
      <c r="C995" s="63"/>
    </row>
    <row r="996" ht="15.75" customHeight="1">
      <c r="C996" s="63"/>
    </row>
    <row r="997" ht="15.75" customHeight="1">
      <c r="C997" s="63"/>
    </row>
    <row r="998" ht="15.75" customHeight="1">
      <c r="C998" s="63"/>
    </row>
    <row r="999" ht="15.75" customHeight="1">
      <c r="C999" s="63"/>
    </row>
  </sheetData>
  <conditionalFormatting sqref="A2:T199">
    <cfRule type="expression" dxfId="0" priority="1">
      <formula>$O2="Ready for cleaning"</formula>
    </cfRule>
  </conditionalFormatting>
  <conditionalFormatting sqref="A2:T199">
    <cfRule type="expression" dxfId="1" priority="2">
      <formula>AND(LOWER($K2)="yes",LOWER($M2)&lt;&gt;"yes")</formula>
    </cfRule>
  </conditionalFormatting>
  <conditionalFormatting sqref="A2:T199">
    <cfRule type="expression" dxfId="2" priority="3">
      <formula>$O2="Cleaned"</formula>
    </cfRule>
  </conditionalFormatting>
  <dataValidations>
    <dataValidation type="list" allowBlank="1" sqref="AC2:AC199">
      <formula1>"PAID,VOID,REFUND_REQUESTED,REFUNDED"</formula1>
    </dataValidation>
    <dataValidation type="list" allowBlank="1" sqref="J2:J199">
      <formula1>"2H,4H,1N,2N,3N,Weekly,Monthly"</formula1>
    </dataValidation>
    <dataValidation type="list" allowBlank="1" sqref="I2:I199">
      <formula1>"Cash,Card"</formula1>
    </dataValidation>
    <dataValidation type="list" allowBlank="1" sqref="X2:X199">
      <formula1>"Cash,Stripe,Square"</formula1>
    </dataValidation>
    <dataValidation type="list" allowBlank="1" sqref="K2:K199 M2:M199 P2:P199 AD2:AD199 AG2:AG199">
      <formula1>"Yes,No"</formula1>
    </dataValidation>
  </dataValidations>
  <hyperlinks>
    <hyperlink r:id="rId2" ref="AD1"/>
    <hyperlink r:id="rId3" ref="AD2"/>
    <hyperlink r:id="rId4" ref="AD3"/>
    <hyperlink r:id="rId5" ref="AD4"/>
    <hyperlink r:id="rId6" ref="AD5"/>
    <hyperlink r:id="rId7" ref="AD6"/>
    <hyperlink r:id="rId8" ref="AD7"/>
    <hyperlink r:id="rId9" ref="AD8"/>
    <hyperlink r:id="rId10" ref="AD9"/>
    <hyperlink r:id="rId11" ref="AD10"/>
    <hyperlink r:id="rId12" ref="AD11"/>
    <hyperlink r:id="rId13" ref="AD12"/>
    <hyperlink r:id="rId14" ref="AD13"/>
    <hyperlink r:id="rId15" ref="AD14"/>
    <hyperlink r:id="rId16" ref="AD15"/>
    <hyperlink r:id="rId17" ref="AD16"/>
    <hyperlink r:id="rId18" ref="AD18"/>
    <hyperlink r:id="rId19" ref="AD19"/>
    <hyperlink r:id="rId20" ref="AD20"/>
    <hyperlink r:id="rId21" ref="AD21"/>
    <hyperlink r:id="rId22" ref="AD22"/>
    <hyperlink r:id="rId23" ref="AD23"/>
    <hyperlink r:id="rId24" ref="AD24"/>
  </hyperlinks>
  <printOptions/>
  <pageMargins bottom="1.0" footer="0.0" header="0.0" left="0.75" right="0.75" top="1.0"/>
  <pageSetup orientation="landscape"/>
  <drawing r:id="rId25"/>
  <legacy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21.57"/>
    <col customWidth="1" min="4" max="4" width="8.0"/>
    <col customWidth="1" min="7" max="7" width="19.43"/>
    <col customWidth="1" min="8" max="8" width="8.86"/>
  </cols>
  <sheetData>
    <row r="1">
      <c r="A1" s="64" t="s">
        <v>120</v>
      </c>
      <c r="B1" s="64" t="s">
        <v>0</v>
      </c>
      <c r="C1" s="64" t="s">
        <v>121</v>
      </c>
      <c r="D1" s="63"/>
      <c r="E1" s="64" t="s">
        <v>120</v>
      </c>
      <c r="F1" s="64" t="s">
        <v>0</v>
      </c>
      <c r="G1" s="64" t="s">
        <v>121</v>
      </c>
      <c r="H1" s="63"/>
      <c r="I1" s="64" t="s">
        <v>120</v>
      </c>
      <c r="J1" s="64" t="s">
        <v>0</v>
      </c>
      <c r="K1" s="64" t="s">
        <v>121</v>
      </c>
    </row>
    <row r="2">
      <c r="A2" s="65">
        <v>101.0</v>
      </c>
      <c r="B2" s="66"/>
      <c r="C2" s="66"/>
      <c r="E2" s="65">
        <v>121.0</v>
      </c>
      <c r="F2" s="66"/>
      <c r="G2" s="66"/>
      <c r="I2" s="65">
        <v>141.0</v>
      </c>
      <c r="J2" s="66"/>
      <c r="K2" s="66"/>
    </row>
    <row r="3">
      <c r="A3" s="65">
        <v>102.0</v>
      </c>
      <c r="B3" s="66"/>
      <c r="C3" s="66"/>
      <c r="E3" s="65">
        <v>122.0</v>
      </c>
      <c r="F3" s="66"/>
      <c r="G3" s="66"/>
      <c r="I3" s="65">
        <v>142.0</v>
      </c>
      <c r="J3" s="66"/>
      <c r="K3" s="66"/>
    </row>
    <row r="4">
      <c r="A4" s="65">
        <v>103.0</v>
      </c>
      <c r="B4" s="66"/>
      <c r="C4" s="66"/>
      <c r="E4" s="65">
        <v>123.0</v>
      </c>
      <c r="F4" s="66"/>
      <c r="G4" s="66"/>
      <c r="I4" s="65">
        <v>143.0</v>
      </c>
      <c r="J4" s="66"/>
      <c r="K4" s="66"/>
    </row>
    <row r="5">
      <c r="A5" s="65">
        <v>104.0</v>
      </c>
      <c r="B5" s="66"/>
      <c r="C5" s="66"/>
      <c r="E5" s="65">
        <v>124.0</v>
      </c>
      <c r="F5" s="66"/>
      <c r="G5" s="66"/>
      <c r="I5" s="65">
        <v>144.0</v>
      </c>
      <c r="J5" s="66"/>
      <c r="K5" s="66"/>
    </row>
    <row r="6">
      <c r="A6" s="65">
        <v>105.0</v>
      </c>
      <c r="B6" s="66"/>
      <c r="C6" s="66"/>
      <c r="E6" s="65">
        <v>125.0</v>
      </c>
      <c r="F6" s="66"/>
      <c r="G6" s="66"/>
      <c r="I6" s="65">
        <v>145.0</v>
      </c>
      <c r="J6" s="66"/>
      <c r="K6" s="66"/>
    </row>
    <row r="7">
      <c r="A7" s="65">
        <v>106.0</v>
      </c>
      <c r="B7" s="66"/>
      <c r="C7" s="66"/>
      <c r="E7" s="65">
        <v>126.0</v>
      </c>
      <c r="F7" s="66"/>
      <c r="G7" s="66"/>
      <c r="I7" s="65">
        <v>146.0</v>
      </c>
      <c r="J7" s="66"/>
      <c r="K7" s="66"/>
    </row>
    <row r="8">
      <c r="A8" s="65">
        <v>107.0</v>
      </c>
      <c r="B8" s="66"/>
      <c r="C8" s="66"/>
      <c r="E8" s="65">
        <v>127.0</v>
      </c>
      <c r="F8" s="66"/>
      <c r="G8" s="66"/>
      <c r="I8" s="65">
        <v>147.0</v>
      </c>
      <c r="J8" s="66"/>
      <c r="K8" s="66"/>
    </row>
    <row r="9">
      <c r="A9" s="65">
        <v>108.0</v>
      </c>
      <c r="B9" s="66"/>
      <c r="C9" s="66"/>
      <c r="E9" s="65">
        <v>128.0</v>
      </c>
      <c r="F9" s="66"/>
      <c r="G9" s="66"/>
      <c r="I9" s="65">
        <v>148.0</v>
      </c>
      <c r="J9" s="66"/>
      <c r="K9" s="66"/>
    </row>
    <row r="10">
      <c r="A10" s="65">
        <v>109.0</v>
      </c>
      <c r="B10" s="66"/>
      <c r="C10" s="66"/>
      <c r="E10" s="65">
        <v>129.0</v>
      </c>
      <c r="F10" s="66"/>
      <c r="G10" s="66"/>
      <c r="I10" s="65">
        <v>149.0</v>
      </c>
      <c r="J10" s="66"/>
      <c r="K10" s="66"/>
    </row>
    <row r="11">
      <c r="A11" s="65">
        <v>110.0</v>
      </c>
      <c r="B11" s="66"/>
      <c r="C11" s="66"/>
      <c r="E11" s="65">
        <v>130.0</v>
      </c>
      <c r="F11" s="66"/>
      <c r="G11" s="66"/>
      <c r="I11" s="65">
        <v>150.0</v>
      </c>
      <c r="J11" s="66"/>
      <c r="K11" s="66"/>
    </row>
    <row r="12">
      <c r="A12" s="65">
        <v>111.0</v>
      </c>
      <c r="B12" s="66"/>
      <c r="C12" s="66"/>
      <c r="E12" s="65">
        <v>131.0</v>
      </c>
      <c r="F12" s="66"/>
      <c r="G12" s="66"/>
      <c r="I12" s="65">
        <v>151.0</v>
      </c>
      <c r="J12" s="66"/>
      <c r="K12" s="66"/>
    </row>
    <row r="13">
      <c r="A13" s="65">
        <v>112.0</v>
      </c>
      <c r="B13" s="66"/>
      <c r="C13" s="66"/>
      <c r="E13" s="65">
        <v>132.0</v>
      </c>
      <c r="F13" s="66"/>
      <c r="G13" s="66"/>
      <c r="I13" s="65">
        <v>152.0</v>
      </c>
      <c r="J13" s="66"/>
      <c r="K13" s="66"/>
    </row>
    <row r="14">
      <c r="A14" s="65">
        <v>113.0</v>
      </c>
      <c r="B14" s="66"/>
      <c r="C14" s="66"/>
      <c r="E14" s="65">
        <v>133.0</v>
      </c>
      <c r="F14" s="66"/>
      <c r="G14" s="66"/>
      <c r="I14" s="65">
        <v>153.0</v>
      </c>
      <c r="J14" s="66"/>
      <c r="K14" s="66"/>
    </row>
    <row r="15">
      <c r="A15" s="65">
        <v>114.0</v>
      </c>
      <c r="B15" s="66"/>
      <c r="C15" s="66"/>
      <c r="E15" s="65">
        <v>134.0</v>
      </c>
      <c r="F15" s="66"/>
      <c r="G15" s="66"/>
      <c r="I15" s="65">
        <v>154.0</v>
      </c>
      <c r="J15" s="66"/>
      <c r="K15" s="66"/>
    </row>
    <row r="16">
      <c r="A16" s="65">
        <v>115.0</v>
      </c>
      <c r="B16" s="66"/>
      <c r="C16" s="66"/>
      <c r="E16" s="65">
        <v>135.0</v>
      </c>
      <c r="F16" s="66"/>
      <c r="G16" s="66"/>
      <c r="I16" s="65">
        <v>155.0</v>
      </c>
      <c r="J16" s="66"/>
      <c r="K16" s="66"/>
    </row>
    <row r="17">
      <c r="A17" s="65">
        <v>116.0</v>
      </c>
      <c r="B17" s="66"/>
      <c r="C17" s="66"/>
      <c r="E17" s="65">
        <v>136.0</v>
      </c>
      <c r="F17" s="66"/>
      <c r="G17" s="66"/>
      <c r="I17" s="65">
        <v>156.0</v>
      </c>
      <c r="J17" s="66"/>
      <c r="K17" s="66"/>
    </row>
    <row r="18">
      <c r="A18" s="65">
        <v>117.0</v>
      </c>
      <c r="B18" s="66"/>
      <c r="C18" s="66"/>
      <c r="E18" s="65">
        <v>137.0</v>
      </c>
      <c r="F18" s="66"/>
      <c r="G18" s="66"/>
      <c r="I18" s="65">
        <v>157.0</v>
      </c>
      <c r="J18" s="66"/>
      <c r="K18" s="66"/>
    </row>
    <row r="19">
      <c r="A19" s="65">
        <v>118.0</v>
      </c>
      <c r="B19" s="66"/>
      <c r="C19" s="66"/>
      <c r="E19" s="65">
        <v>138.0</v>
      </c>
      <c r="F19" s="66"/>
      <c r="G19" s="66"/>
      <c r="I19" s="65">
        <v>158.0</v>
      </c>
      <c r="J19" s="66"/>
      <c r="K19" s="66"/>
    </row>
    <row r="20">
      <c r="A20" s="65">
        <v>119.0</v>
      </c>
      <c r="B20" s="66"/>
      <c r="C20" s="66"/>
      <c r="E20" s="65">
        <v>139.0</v>
      </c>
      <c r="F20" s="66"/>
      <c r="G20" s="66"/>
      <c r="I20" s="65">
        <v>159.0</v>
      </c>
      <c r="J20" s="66"/>
      <c r="K20" s="66"/>
    </row>
    <row r="21">
      <c r="A21" s="65">
        <v>120.0</v>
      </c>
      <c r="B21" s="66"/>
      <c r="C21" s="66"/>
      <c r="E21" s="65">
        <v>140.0</v>
      </c>
      <c r="F21" s="66"/>
      <c r="G21" s="66"/>
      <c r="I21" s="65">
        <v>160.0</v>
      </c>
      <c r="J21" s="66"/>
      <c r="K21" s="66"/>
    </row>
    <row r="22">
      <c r="A22" s="67"/>
      <c r="B22" s="67"/>
      <c r="C22" s="67"/>
      <c r="D22" s="63"/>
      <c r="E22" s="67"/>
      <c r="F22" s="67"/>
      <c r="G22" s="67"/>
      <c r="H22" s="63"/>
      <c r="I22" s="67"/>
      <c r="J22" s="67"/>
      <c r="K22" s="67"/>
    </row>
    <row r="23">
      <c r="A23" s="64" t="s">
        <v>120</v>
      </c>
      <c r="B23" s="64" t="s">
        <v>0</v>
      </c>
      <c r="C23" s="64" t="s">
        <v>121</v>
      </c>
      <c r="D23" s="63"/>
      <c r="E23" s="64" t="s">
        <v>120</v>
      </c>
      <c r="F23" s="64" t="s">
        <v>0</v>
      </c>
      <c r="G23" s="64" t="s">
        <v>121</v>
      </c>
      <c r="H23" s="63"/>
      <c r="I23" s="64" t="s">
        <v>120</v>
      </c>
      <c r="J23" s="64" t="s">
        <v>0</v>
      </c>
      <c r="K23" s="64" t="s">
        <v>121</v>
      </c>
    </row>
    <row r="24">
      <c r="A24" s="65">
        <v>101.0</v>
      </c>
      <c r="B24" s="66"/>
      <c r="C24" s="66"/>
      <c r="E24" s="65">
        <v>121.0</v>
      </c>
      <c r="F24" s="66"/>
      <c r="G24" s="66"/>
      <c r="I24" s="65">
        <v>141.0</v>
      </c>
      <c r="J24" s="66"/>
      <c r="K24" s="66"/>
    </row>
    <row r="25">
      <c r="A25" s="65">
        <v>102.0</v>
      </c>
      <c r="B25" s="66"/>
      <c r="C25" s="66"/>
      <c r="E25" s="65">
        <v>122.0</v>
      </c>
      <c r="F25" s="66"/>
      <c r="G25" s="66"/>
      <c r="I25" s="65">
        <v>142.0</v>
      </c>
      <c r="J25" s="66"/>
      <c r="K25" s="66"/>
    </row>
    <row r="26">
      <c r="A26" s="65">
        <v>103.0</v>
      </c>
      <c r="B26" s="66"/>
      <c r="C26" s="66"/>
      <c r="E26" s="65">
        <v>123.0</v>
      </c>
      <c r="F26" s="66"/>
      <c r="G26" s="66"/>
      <c r="I26" s="65">
        <v>143.0</v>
      </c>
      <c r="J26" s="66"/>
      <c r="K26" s="66"/>
    </row>
    <row r="27">
      <c r="A27" s="65">
        <v>104.0</v>
      </c>
      <c r="B27" s="66"/>
      <c r="C27" s="66"/>
      <c r="E27" s="65">
        <v>124.0</v>
      </c>
      <c r="F27" s="66"/>
      <c r="G27" s="66"/>
      <c r="I27" s="65">
        <v>144.0</v>
      </c>
      <c r="J27" s="66"/>
      <c r="K27" s="66"/>
    </row>
    <row r="28">
      <c r="A28" s="65">
        <v>105.0</v>
      </c>
      <c r="B28" s="66"/>
      <c r="C28" s="66"/>
      <c r="E28" s="65">
        <v>125.0</v>
      </c>
      <c r="F28" s="66"/>
      <c r="G28" s="66"/>
      <c r="I28" s="65">
        <v>145.0</v>
      </c>
      <c r="J28" s="66"/>
      <c r="K28" s="66"/>
    </row>
    <row r="29">
      <c r="A29" s="65">
        <v>106.0</v>
      </c>
      <c r="B29" s="66"/>
      <c r="C29" s="66"/>
      <c r="E29" s="65">
        <v>126.0</v>
      </c>
      <c r="F29" s="66"/>
      <c r="G29" s="66"/>
      <c r="I29" s="65">
        <v>146.0</v>
      </c>
      <c r="J29" s="66"/>
      <c r="K29" s="66"/>
    </row>
    <row r="30">
      <c r="A30" s="65">
        <v>107.0</v>
      </c>
      <c r="B30" s="66"/>
      <c r="C30" s="66"/>
      <c r="E30" s="65">
        <v>127.0</v>
      </c>
      <c r="F30" s="66"/>
      <c r="G30" s="66"/>
      <c r="I30" s="65">
        <v>147.0</v>
      </c>
      <c r="J30" s="66"/>
      <c r="K30" s="66"/>
    </row>
    <row r="31">
      <c r="A31" s="65">
        <v>108.0</v>
      </c>
      <c r="B31" s="66"/>
      <c r="C31" s="66"/>
      <c r="E31" s="65">
        <v>128.0</v>
      </c>
      <c r="F31" s="66"/>
      <c r="G31" s="66"/>
      <c r="I31" s="65">
        <v>148.0</v>
      </c>
      <c r="J31" s="66"/>
      <c r="K31" s="66"/>
    </row>
    <row r="32">
      <c r="A32" s="65">
        <v>109.0</v>
      </c>
      <c r="B32" s="66"/>
      <c r="C32" s="66"/>
      <c r="E32" s="65">
        <v>129.0</v>
      </c>
      <c r="F32" s="66"/>
      <c r="G32" s="66"/>
      <c r="I32" s="65">
        <v>149.0</v>
      </c>
      <c r="J32" s="66"/>
      <c r="K32" s="66"/>
    </row>
    <row r="33">
      <c r="A33" s="65">
        <v>110.0</v>
      </c>
      <c r="B33" s="66"/>
      <c r="C33" s="66"/>
      <c r="E33" s="65">
        <v>130.0</v>
      </c>
      <c r="F33" s="66"/>
      <c r="G33" s="66"/>
      <c r="I33" s="65">
        <v>150.0</v>
      </c>
      <c r="J33" s="66"/>
      <c r="K33" s="66"/>
    </row>
    <row r="34">
      <c r="A34" s="65">
        <v>111.0</v>
      </c>
      <c r="B34" s="66"/>
      <c r="C34" s="66"/>
      <c r="E34" s="65">
        <v>131.0</v>
      </c>
      <c r="F34" s="66"/>
      <c r="G34" s="66"/>
      <c r="I34" s="65">
        <v>151.0</v>
      </c>
      <c r="J34" s="66"/>
      <c r="K34" s="66"/>
    </row>
    <row r="35">
      <c r="A35" s="65">
        <v>112.0</v>
      </c>
      <c r="B35" s="66"/>
      <c r="C35" s="66"/>
      <c r="E35" s="65">
        <v>132.0</v>
      </c>
      <c r="F35" s="66"/>
      <c r="G35" s="66"/>
      <c r="I35" s="65">
        <v>152.0</v>
      </c>
      <c r="J35" s="66"/>
      <c r="K35" s="66"/>
    </row>
    <row r="36">
      <c r="A36" s="65">
        <v>113.0</v>
      </c>
      <c r="B36" s="66"/>
      <c r="C36" s="66"/>
      <c r="E36" s="65">
        <v>133.0</v>
      </c>
      <c r="F36" s="66"/>
      <c r="G36" s="66"/>
      <c r="I36" s="65">
        <v>153.0</v>
      </c>
      <c r="J36" s="66"/>
      <c r="K36" s="66"/>
    </row>
    <row r="37">
      <c r="A37" s="65">
        <v>114.0</v>
      </c>
      <c r="B37" s="66"/>
      <c r="C37" s="66"/>
      <c r="E37" s="65">
        <v>134.0</v>
      </c>
      <c r="F37" s="66"/>
      <c r="G37" s="66"/>
      <c r="I37" s="65">
        <v>154.0</v>
      </c>
      <c r="J37" s="66"/>
      <c r="K37" s="66"/>
    </row>
    <row r="38">
      <c r="A38" s="65">
        <v>115.0</v>
      </c>
      <c r="B38" s="66"/>
      <c r="C38" s="66"/>
      <c r="E38" s="65">
        <v>135.0</v>
      </c>
      <c r="F38" s="66"/>
      <c r="G38" s="66"/>
      <c r="I38" s="65">
        <v>155.0</v>
      </c>
      <c r="J38" s="66"/>
      <c r="K38" s="66"/>
    </row>
    <row r="39">
      <c r="A39" s="65">
        <v>116.0</v>
      </c>
      <c r="B39" s="66"/>
      <c r="C39" s="66"/>
      <c r="E39" s="65">
        <v>136.0</v>
      </c>
      <c r="F39" s="66"/>
      <c r="G39" s="66"/>
      <c r="I39" s="65">
        <v>156.0</v>
      </c>
      <c r="J39" s="66"/>
      <c r="K39" s="66"/>
    </row>
    <row r="40">
      <c r="A40" s="65">
        <v>117.0</v>
      </c>
      <c r="B40" s="66"/>
      <c r="C40" s="66"/>
      <c r="E40" s="65">
        <v>137.0</v>
      </c>
      <c r="F40" s="66"/>
      <c r="G40" s="66"/>
      <c r="I40" s="65">
        <v>157.0</v>
      </c>
      <c r="J40" s="66"/>
      <c r="K40" s="66"/>
    </row>
    <row r="41">
      <c r="A41" s="65">
        <v>118.0</v>
      </c>
      <c r="B41" s="66"/>
      <c r="C41" s="66"/>
      <c r="E41" s="65">
        <v>138.0</v>
      </c>
      <c r="F41" s="66"/>
      <c r="G41" s="66"/>
      <c r="I41" s="65">
        <v>158.0</v>
      </c>
      <c r="J41" s="66"/>
      <c r="K41" s="66"/>
    </row>
    <row r="42">
      <c r="A42" s="65">
        <v>119.0</v>
      </c>
      <c r="B42" s="66"/>
      <c r="C42" s="66"/>
      <c r="E42" s="65">
        <v>139.0</v>
      </c>
      <c r="F42" s="66"/>
      <c r="G42" s="66"/>
      <c r="I42" s="65">
        <v>159.0</v>
      </c>
      <c r="J42" s="66"/>
      <c r="K42" s="66"/>
    </row>
    <row r="43">
      <c r="A43" s="65">
        <v>120.0</v>
      </c>
      <c r="B43" s="66"/>
      <c r="C43" s="66"/>
      <c r="E43" s="65">
        <v>140.0</v>
      </c>
      <c r="F43" s="66"/>
      <c r="G43" s="66"/>
      <c r="I43" s="65">
        <v>160.0</v>
      </c>
      <c r="J43" s="66"/>
      <c r="K43" s="66"/>
    </row>
    <row r="44">
      <c r="A44" s="68"/>
    </row>
    <row r="45">
      <c r="A45" s="68"/>
    </row>
    <row r="46">
      <c r="A46" s="68"/>
    </row>
    <row r="47">
      <c r="A47" s="68"/>
    </row>
    <row r="48">
      <c r="A48" s="68"/>
    </row>
    <row r="49">
      <c r="A49" s="68"/>
    </row>
    <row r="50">
      <c r="A50" s="68"/>
    </row>
    <row r="51">
      <c r="A51" s="68"/>
    </row>
    <row r="52">
      <c r="A52" s="68"/>
    </row>
    <row r="53">
      <c r="A53" s="68"/>
    </row>
    <row r="54">
      <c r="A54" s="68"/>
    </row>
    <row r="55">
      <c r="A55" s="68"/>
    </row>
    <row r="56">
      <c r="A56" s="68"/>
    </row>
    <row r="57">
      <c r="A57" s="68"/>
    </row>
    <row r="58">
      <c r="A58" s="68"/>
    </row>
    <row r="59">
      <c r="A59" s="68"/>
    </row>
    <row r="60">
      <c r="A60" s="68"/>
    </row>
    <row r="61">
      <c r="A61" s="68"/>
    </row>
    <row r="62">
      <c r="A62" s="68"/>
    </row>
    <row r="63">
      <c r="A63" s="63"/>
    </row>
    <row r="64">
      <c r="A64" s="63"/>
    </row>
    <row r="65">
      <c r="A65" s="63"/>
    </row>
    <row r="66">
      <c r="A66" s="63"/>
    </row>
    <row r="67">
      <c r="A67" s="63"/>
    </row>
    <row r="68">
      <c r="A68" s="63"/>
    </row>
    <row r="69">
      <c r="A69" s="63"/>
    </row>
    <row r="70">
      <c r="A70" s="63"/>
    </row>
    <row r="71">
      <c r="A71" s="63"/>
    </row>
    <row r="72">
      <c r="A72" s="63"/>
    </row>
    <row r="73">
      <c r="A73" s="63"/>
    </row>
    <row r="74">
      <c r="A74" s="63"/>
    </row>
    <row r="75">
      <c r="A75" s="63"/>
    </row>
    <row r="76">
      <c r="A76" s="63"/>
    </row>
    <row r="77">
      <c r="A77" s="63"/>
    </row>
    <row r="78">
      <c r="A78" s="63"/>
    </row>
    <row r="79">
      <c r="A79" s="63"/>
    </row>
    <row r="80">
      <c r="A80" s="63"/>
    </row>
    <row r="81">
      <c r="A81" s="63"/>
    </row>
    <row r="82">
      <c r="A82" s="63"/>
    </row>
    <row r="83">
      <c r="A83" s="63"/>
    </row>
    <row r="84">
      <c r="A84" s="63"/>
    </row>
    <row r="85">
      <c r="A85" s="63"/>
    </row>
    <row r="86">
      <c r="A86" s="63"/>
    </row>
    <row r="87">
      <c r="A87" s="63"/>
    </row>
    <row r="88">
      <c r="A88" s="63"/>
    </row>
    <row r="89">
      <c r="A89" s="63"/>
    </row>
    <row r="90">
      <c r="A90" s="63"/>
    </row>
    <row r="91">
      <c r="A91" s="63"/>
    </row>
    <row r="92">
      <c r="A92" s="63"/>
    </row>
    <row r="93">
      <c r="A93" s="63"/>
    </row>
    <row r="94">
      <c r="A94" s="63"/>
    </row>
    <row r="95">
      <c r="A95" s="63"/>
    </row>
    <row r="96">
      <c r="A96" s="63"/>
    </row>
    <row r="97">
      <c r="A97" s="63"/>
    </row>
    <row r="98">
      <c r="A98" s="63"/>
    </row>
    <row r="99">
      <c r="A99" s="63"/>
    </row>
    <row r="100">
      <c r="A100" s="63"/>
    </row>
    <row r="101">
      <c r="A101" s="63"/>
    </row>
    <row r="102">
      <c r="A102" s="63"/>
    </row>
    <row r="103">
      <c r="A103" s="63"/>
    </row>
    <row r="104">
      <c r="A104" s="63"/>
    </row>
    <row r="105">
      <c r="A105" s="63"/>
    </row>
    <row r="106">
      <c r="A106" s="63"/>
    </row>
    <row r="107">
      <c r="A107" s="63"/>
    </row>
    <row r="108">
      <c r="A108" s="63"/>
    </row>
    <row r="109">
      <c r="A109" s="63"/>
    </row>
    <row r="110">
      <c r="A110" s="63"/>
    </row>
    <row r="111">
      <c r="A111" s="63"/>
    </row>
    <row r="112">
      <c r="A112" s="63"/>
    </row>
    <row r="113">
      <c r="A113" s="63"/>
    </row>
    <row r="114">
      <c r="A114" s="63"/>
    </row>
    <row r="115">
      <c r="A115" s="63"/>
    </row>
    <row r="116">
      <c r="A116" s="63"/>
    </row>
    <row r="117">
      <c r="A117" s="63"/>
    </row>
    <row r="118">
      <c r="A118" s="63"/>
    </row>
    <row r="119">
      <c r="A119" s="63"/>
    </row>
    <row r="120">
      <c r="A120" s="63"/>
    </row>
    <row r="121">
      <c r="A121" s="63"/>
    </row>
    <row r="122">
      <c r="A122" s="63"/>
    </row>
    <row r="123">
      <c r="A123" s="63"/>
    </row>
    <row r="124">
      <c r="A124" s="63"/>
    </row>
    <row r="125">
      <c r="A125" s="63"/>
    </row>
    <row r="126">
      <c r="A126" s="63"/>
    </row>
    <row r="127">
      <c r="A127" s="63"/>
    </row>
    <row r="128">
      <c r="A128" s="63"/>
    </row>
    <row r="129">
      <c r="A129" s="63"/>
    </row>
    <row r="130">
      <c r="A130" s="63"/>
    </row>
    <row r="131">
      <c r="A131" s="63"/>
    </row>
    <row r="132">
      <c r="A132" s="63"/>
    </row>
    <row r="133">
      <c r="A133" s="63"/>
    </row>
    <row r="134">
      <c r="A134" s="63"/>
    </row>
    <row r="135">
      <c r="A135" s="63"/>
    </row>
    <row r="136">
      <c r="A136" s="63"/>
    </row>
    <row r="137">
      <c r="A137" s="63"/>
    </row>
    <row r="138">
      <c r="A138" s="63"/>
    </row>
    <row r="139">
      <c r="A139" s="63"/>
    </row>
    <row r="140">
      <c r="A140" s="63"/>
    </row>
    <row r="141">
      <c r="A141" s="63"/>
    </row>
    <row r="142">
      <c r="A142" s="63"/>
    </row>
    <row r="143">
      <c r="A143" s="63"/>
    </row>
    <row r="144">
      <c r="A144" s="63"/>
    </row>
    <row r="145">
      <c r="A145" s="63"/>
    </row>
    <row r="146">
      <c r="A146" s="63"/>
    </row>
    <row r="147">
      <c r="A147" s="63"/>
    </row>
    <row r="148">
      <c r="A148" s="63"/>
    </row>
    <row r="149">
      <c r="A149" s="63"/>
    </row>
    <row r="150">
      <c r="A150" s="63"/>
    </row>
    <row r="151">
      <c r="A151" s="63"/>
    </row>
    <row r="152">
      <c r="A152" s="63"/>
    </row>
    <row r="153">
      <c r="A153" s="63"/>
    </row>
    <row r="154">
      <c r="A154" s="63"/>
    </row>
    <row r="155">
      <c r="A155" s="63"/>
    </row>
    <row r="156">
      <c r="A156" s="63"/>
    </row>
    <row r="157">
      <c r="A157" s="63"/>
    </row>
    <row r="158">
      <c r="A158" s="63"/>
    </row>
    <row r="159">
      <c r="A159" s="63"/>
    </row>
    <row r="160">
      <c r="A160" s="63"/>
    </row>
    <row r="161">
      <c r="A161" s="63"/>
    </row>
    <row r="162">
      <c r="A162" s="63"/>
    </row>
    <row r="163">
      <c r="A163" s="63"/>
    </row>
    <row r="164">
      <c r="A164" s="63"/>
    </row>
    <row r="165">
      <c r="A165" s="63"/>
    </row>
    <row r="166">
      <c r="A166" s="63"/>
    </row>
    <row r="167">
      <c r="A167" s="63"/>
    </row>
    <row r="168">
      <c r="A168" s="63"/>
    </row>
    <row r="169">
      <c r="A169" s="63"/>
    </row>
    <row r="170">
      <c r="A170" s="63"/>
    </row>
    <row r="171">
      <c r="A171" s="63"/>
    </row>
    <row r="172">
      <c r="A172" s="63"/>
    </row>
    <row r="173">
      <c r="A173" s="63"/>
    </row>
    <row r="174">
      <c r="A174" s="63"/>
    </row>
    <row r="175">
      <c r="A175" s="63"/>
    </row>
    <row r="176">
      <c r="A176" s="63"/>
    </row>
    <row r="177">
      <c r="A177" s="63"/>
    </row>
    <row r="178">
      <c r="A178" s="63"/>
    </row>
    <row r="179">
      <c r="A179" s="63"/>
    </row>
    <row r="180">
      <c r="A180" s="63"/>
    </row>
    <row r="181">
      <c r="A181" s="63"/>
    </row>
    <row r="182">
      <c r="A182" s="63"/>
    </row>
    <row r="183">
      <c r="A183" s="63"/>
    </row>
    <row r="184">
      <c r="A184" s="63"/>
    </row>
    <row r="185">
      <c r="A185" s="63"/>
    </row>
    <row r="186">
      <c r="A186" s="63"/>
    </row>
    <row r="187">
      <c r="A187" s="63"/>
    </row>
    <row r="188">
      <c r="A188" s="63"/>
    </row>
    <row r="189">
      <c r="A189" s="63"/>
    </row>
    <row r="190">
      <c r="A190" s="63"/>
    </row>
    <row r="191">
      <c r="A191" s="63"/>
    </row>
    <row r="192">
      <c r="A192" s="63"/>
    </row>
    <row r="193">
      <c r="A193" s="63"/>
    </row>
    <row r="194">
      <c r="A194" s="63"/>
    </row>
    <row r="195">
      <c r="A195" s="63"/>
    </row>
    <row r="196">
      <c r="A196" s="63"/>
    </row>
    <row r="197">
      <c r="A197" s="63"/>
    </row>
    <row r="198">
      <c r="A198" s="63"/>
    </row>
    <row r="199">
      <c r="A199" s="63"/>
    </row>
    <row r="200">
      <c r="A200" s="63"/>
    </row>
    <row r="201">
      <c r="A201" s="63"/>
    </row>
    <row r="202">
      <c r="A202" s="63"/>
    </row>
    <row r="203">
      <c r="A203" s="63"/>
    </row>
    <row r="204">
      <c r="A204" s="63"/>
    </row>
    <row r="205">
      <c r="A205" s="63"/>
    </row>
    <row r="206">
      <c r="A206" s="63"/>
    </row>
    <row r="207">
      <c r="A207" s="63"/>
    </row>
    <row r="208">
      <c r="A208" s="63"/>
    </row>
    <row r="209">
      <c r="A209" s="63"/>
    </row>
    <row r="210">
      <c r="A210" s="63"/>
    </row>
    <row r="211">
      <c r="A211" s="63"/>
    </row>
    <row r="212">
      <c r="A212" s="63"/>
    </row>
    <row r="213">
      <c r="A213" s="63"/>
    </row>
    <row r="214">
      <c r="A214" s="63"/>
    </row>
    <row r="215">
      <c r="A215" s="63"/>
    </row>
    <row r="216">
      <c r="A216" s="63"/>
    </row>
    <row r="217">
      <c r="A217" s="63"/>
    </row>
    <row r="218">
      <c r="A218" s="63"/>
    </row>
    <row r="219">
      <c r="A219" s="63"/>
    </row>
    <row r="220">
      <c r="A220" s="63"/>
    </row>
    <row r="221">
      <c r="A221" s="63"/>
    </row>
    <row r="222">
      <c r="A222" s="63"/>
    </row>
    <row r="223">
      <c r="A223" s="63"/>
    </row>
    <row r="224">
      <c r="A224" s="63"/>
    </row>
    <row r="225">
      <c r="A225" s="63"/>
    </row>
    <row r="226">
      <c r="A226" s="63"/>
    </row>
    <row r="227">
      <c r="A227" s="63"/>
    </row>
    <row r="228">
      <c r="A228" s="63"/>
    </row>
    <row r="229">
      <c r="A229" s="63"/>
    </row>
    <row r="230">
      <c r="A230" s="63"/>
    </row>
    <row r="231">
      <c r="A231" s="63"/>
    </row>
    <row r="232">
      <c r="A232" s="63"/>
    </row>
    <row r="233">
      <c r="A233" s="63"/>
    </row>
    <row r="234">
      <c r="A234" s="63"/>
    </row>
    <row r="235">
      <c r="A235" s="63"/>
    </row>
    <row r="236">
      <c r="A236" s="63"/>
    </row>
    <row r="237">
      <c r="A237" s="63"/>
    </row>
    <row r="238">
      <c r="A238" s="63"/>
    </row>
    <row r="239">
      <c r="A239" s="63"/>
    </row>
    <row r="240">
      <c r="A240" s="63"/>
    </row>
    <row r="241">
      <c r="A241" s="63"/>
    </row>
    <row r="242">
      <c r="A242" s="63"/>
    </row>
    <row r="243">
      <c r="A243" s="63"/>
    </row>
    <row r="244">
      <c r="A244" s="63"/>
    </row>
    <row r="245">
      <c r="A245" s="63"/>
    </row>
    <row r="246">
      <c r="A246" s="63"/>
    </row>
    <row r="247">
      <c r="A247" s="63"/>
    </row>
    <row r="248">
      <c r="A248" s="63"/>
    </row>
    <row r="249">
      <c r="A249" s="63"/>
    </row>
    <row r="250">
      <c r="A250" s="63"/>
    </row>
    <row r="251">
      <c r="A251" s="63"/>
    </row>
    <row r="252">
      <c r="A252" s="63"/>
    </row>
    <row r="253">
      <c r="A253" s="63"/>
    </row>
    <row r="254">
      <c r="A254" s="63"/>
    </row>
    <row r="255">
      <c r="A255" s="63"/>
    </row>
    <row r="256">
      <c r="A256" s="63"/>
    </row>
    <row r="257">
      <c r="A257" s="63"/>
    </row>
    <row r="258">
      <c r="A258" s="63"/>
    </row>
    <row r="259">
      <c r="A259" s="63"/>
    </row>
    <row r="260">
      <c r="A260" s="63"/>
    </row>
    <row r="261">
      <c r="A261" s="63"/>
    </row>
    <row r="262">
      <c r="A262" s="63"/>
    </row>
    <row r="263">
      <c r="A263" s="63"/>
    </row>
    <row r="264">
      <c r="A264" s="63"/>
    </row>
    <row r="265">
      <c r="A265" s="63"/>
    </row>
    <row r="266">
      <c r="A266" s="63"/>
    </row>
    <row r="267">
      <c r="A267" s="63"/>
    </row>
    <row r="268">
      <c r="A268" s="63"/>
    </row>
    <row r="269">
      <c r="A269" s="63"/>
    </row>
    <row r="270">
      <c r="A270" s="63"/>
    </row>
    <row r="271">
      <c r="A271" s="63"/>
    </row>
    <row r="272">
      <c r="A272" s="63"/>
    </row>
    <row r="273">
      <c r="A273" s="63"/>
    </row>
    <row r="274">
      <c r="A274" s="63"/>
    </row>
    <row r="275">
      <c r="A275" s="63"/>
    </row>
    <row r="276">
      <c r="A276" s="63"/>
    </row>
    <row r="277">
      <c r="A277" s="63"/>
    </row>
    <row r="278">
      <c r="A278" s="63"/>
    </row>
    <row r="279">
      <c r="A279" s="63"/>
    </row>
    <row r="280">
      <c r="A280" s="63"/>
    </row>
    <row r="281">
      <c r="A281" s="63"/>
    </row>
    <row r="282">
      <c r="A282" s="63"/>
    </row>
    <row r="283">
      <c r="A283" s="63"/>
    </row>
    <row r="284">
      <c r="A284" s="63"/>
    </row>
    <row r="285">
      <c r="A285" s="63"/>
    </row>
    <row r="286">
      <c r="A286" s="63"/>
    </row>
    <row r="287">
      <c r="A287" s="63"/>
    </row>
    <row r="288">
      <c r="A288" s="63"/>
    </row>
    <row r="289">
      <c r="A289" s="63"/>
    </row>
    <row r="290">
      <c r="A290" s="63"/>
    </row>
    <row r="291">
      <c r="A291" s="63"/>
    </row>
    <row r="292">
      <c r="A292" s="63"/>
    </row>
    <row r="293">
      <c r="A293" s="63"/>
    </row>
    <row r="294">
      <c r="A294" s="63"/>
    </row>
    <row r="295">
      <c r="A295" s="63"/>
    </row>
    <row r="296">
      <c r="A296" s="63"/>
    </row>
    <row r="297">
      <c r="A297" s="63"/>
    </row>
    <row r="298">
      <c r="A298" s="63"/>
    </row>
    <row r="299">
      <c r="A299" s="63"/>
    </row>
    <row r="300">
      <c r="A300" s="63"/>
    </row>
    <row r="301">
      <c r="A301" s="63"/>
    </row>
    <row r="302">
      <c r="A302" s="63"/>
    </row>
    <row r="303">
      <c r="A303" s="63"/>
    </row>
    <row r="304">
      <c r="A304" s="63"/>
    </row>
    <row r="305">
      <c r="A305" s="63"/>
    </row>
    <row r="306">
      <c r="A306" s="63"/>
    </row>
    <row r="307">
      <c r="A307" s="63"/>
    </row>
    <row r="308">
      <c r="A308" s="63"/>
    </row>
    <row r="309">
      <c r="A309" s="63"/>
    </row>
    <row r="310">
      <c r="A310" s="63"/>
    </row>
    <row r="311">
      <c r="A311" s="63"/>
    </row>
    <row r="312">
      <c r="A312" s="63"/>
    </row>
    <row r="313">
      <c r="A313" s="63"/>
    </row>
    <row r="314">
      <c r="A314" s="63"/>
    </row>
    <row r="315">
      <c r="A315" s="63"/>
    </row>
    <row r="316">
      <c r="A316" s="63"/>
    </row>
    <row r="317">
      <c r="A317" s="63"/>
    </row>
    <row r="318">
      <c r="A318" s="63"/>
    </row>
    <row r="319">
      <c r="A319" s="63"/>
    </row>
    <row r="320">
      <c r="A320" s="63"/>
    </row>
    <row r="321">
      <c r="A321" s="63"/>
    </row>
    <row r="322">
      <c r="A322" s="63"/>
    </row>
    <row r="323">
      <c r="A323" s="63"/>
    </row>
    <row r="324">
      <c r="A324" s="63"/>
    </row>
    <row r="325">
      <c r="A325" s="63"/>
    </row>
    <row r="326">
      <c r="A326" s="63"/>
    </row>
    <row r="327">
      <c r="A327" s="63"/>
    </row>
    <row r="328">
      <c r="A328" s="63"/>
    </row>
    <row r="329">
      <c r="A329" s="63"/>
    </row>
    <row r="330">
      <c r="A330" s="63"/>
    </row>
    <row r="331">
      <c r="A331" s="63"/>
    </row>
    <row r="332">
      <c r="A332" s="63"/>
    </row>
    <row r="333">
      <c r="A333" s="63"/>
    </row>
    <row r="334">
      <c r="A334" s="63"/>
    </row>
    <row r="335">
      <c r="A335" s="63"/>
    </row>
    <row r="336">
      <c r="A336" s="63"/>
    </row>
    <row r="337">
      <c r="A337" s="63"/>
    </row>
    <row r="338">
      <c r="A338" s="63"/>
    </row>
    <row r="339">
      <c r="A339" s="63"/>
    </row>
    <row r="340">
      <c r="A340" s="63"/>
    </row>
    <row r="341">
      <c r="A341" s="63"/>
    </row>
    <row r="342">
      <c r="A342" s="63"/>
    </row>
    <row r="343">
      <c r="A343" s="63"/>
    </row>
    <row r="344">
      <c r="A344" s="63"/>
    </row>
    <row r="345">
      <c r="A345" s="63"/>
    </row>
    <row r="346">
      <c r="A346" s="63"/>
    </row>
    <row r="347">
      <c r="A347" s="63"/>
    </row>
    <row r="348">
      <c r="A348" s="63"/>
    </row>
    <row r="349">
      <c r="A349" s="63"/>
    </row>
    <row r="350">
      <c r="A350" s="63"/>
    </row>
    <row r="351">
      <c r="A351" s="63"/>
    </row>
    <row r="352">
      <c r="A352" s="63"/>
    </row>
    <row r="353">
      <c r="A353" s="63"/>
    </row>
    <row r="354">
      <c r="A354" s="63"/>
    </row>
    <row r="355">
      <c r="A355" s="63"/>
    </row>
    <row r="356">
      <c r="A356" s="63"/>
    </row>
    <row r="357">
      <c r="A357" s="63"/>
    </row>
    <row r="358">
      <c r="A358" s="63"/>
    </row>
    <row r="359">
      <c r="A359" s="63"/>
    </row>
    <row r="360">
      <c r="A360" s="63"/>
    </row>
    <row r="361">
      <c r="A361" s="63"/>
    </row>
    <row r="362">
      <c r="A362" s="63"/>
    </row>
    <row r="363">
      <c r="A363" s="63"/>
    </row>
    <row r="364">
      <c r="A364" s="63"/>
    </row>
    <row r="365">
      <c r="A365" s="63"/>
    </row>
    <row r="366">
      <c r="A366" s="63"/>
    </row>
    <row r="367">
      <c r="A367" s="63"/>
    </row>
    <row r="368">
      <c r="A368" s="63"/>
    </row>
    <row r="369">
      <c r="A369" s="63"/>
    </row>
    <row r="370">
      <c r="A370" s="63"/>
    </row>
    <row r="371">
      <c r="A371" s="63"/>
    </row>
    <row r="372">
      <c r="A372" s="63"/>
    </row>
    <row r="373">
      <c r="A373" s="63"/>
    </row>
    <row r="374">
      <c r="A374" s="63"/>
    </row>
    <row r="375">
      <c r="A375" s="63"/>
    </row>
    <row r="376">
      <c r="A376" s="63"/>
    </row>
    <row r="377">
      <c r="A377" s="63"/>
    </row>
    <row r="378">
      <c r="A378" s="63"/>
    </row>
    <row r="379">
      <c r="A379" s="63"/>
    </row>
    <row r="380">
      <c r="A380" s="63"/>
    </row>
    <row r="381">
      <c r="A381" s="63"/>
    </row>
    <row r="382">
      <c r="A382" s="63"/>
    </row>
    <row r="383">
      <c r="A383" s="63"/>
    </row>
    <row r="384">
      <c r="A384" s="63"/>
    </row>
    <row r="385">
      <c r="A385" s="63"/>
    </row>
    <row r="386">
      <c r="A386" s="63"/>
    </row>
    <row r="387">
      <c r="A387" s="63"/>
    </row>
    <row r="388">
      <c r="A388" s="63"/>
    </row>
    <row r="389">
      <c r="A389" s="63"/>
    </row>
    <row r="390">
      <c r="A390" s="63"/>
    </row>
    <row r="391">
      <c r="A391" s="63"/>
    </row>
    <row r="392">
      <c r="A392" s="63"/>
    </row>
    <row r="393">
      <c r="A393" s="63"/>
    </row>
    <row r="394">
      <c r="A394" s="63"/>
    </row>
    <row r="395">
      <c r="A395" s="63"/>
    </row>
    <row r="396">
      <c r="A396" s="63"/>
    </row>
    <row r="397">
      <c r="A397" s="63"/>
    </row>
    <row r="398">
      <c r="A398" s="63"/>
    </row>
    <row r="399">
      <c r="A399" s="63"/>
    </row>
    <row r="400">
      <c r="A400" s="63"/>
    </row>
    <row r="401">
      <c r="A401" s="63"/>
    </row>
    <row r="402">
      <c r="A402" s="63"/>
    </row>
    <row r="403">
      <c r="A403" s="63"/>
    </row>
    <row r="404">
      <c r="A404" s="63"/>
    </row>
    <row r="405">
      <c r="A405" s="63"/>
    </row>
    <row r="406">
      <c r="A406" s="63"/>
    </row>
    <row r="407">
      <c r="A407" s="63"/>
    </row>
    <row r="408">
      <c r="A408" s="63"/>
    </row>
    <row r="409">
      <c r="A409" s="63"/>
    </row>
    <row r="410">
      <c r="A410" s="63"/>
    </row>
    <row r="411">
      <c r="A411" s="63"/>
    </row>
    <row r="412">
      <c r="A412" s="63"/>
    </row>
    <row r="413">
      <c r="A413" s="63"/>
    </row>
    <row r="414">
      <c r="A414" s="63"/>
    </row>
    <row r="415">
      <c r="A415" s="63"/>
    </row>
    <row r="416">
      <c r="A416" s="63"/>
    </row>
    <row r="417">
      <c r="A417" s="63"/>
    </row>
    <row r="418">
      <c r="A418" s="63"/>
    </row>
    <row r="419">
      <c r="A419" s="63"/>
    </row>
    <row r="420">
      <c r="A420" s="63"/>
    </row>
    <row r="421">
      <c r="A421" s="63"/>
    </row>
    <row r="422">
      <c r="A422" s="63"/>
    </row>
    <row r="423">
      <c r="A423" s="63"/>
    </row>
    <row r="424">
      <c r="A424" s="63"/>
    </row>
    <row r="425">
      <c r="A425" s="63"/>
    </row>
    <row r="426">
      <c r="A426" s="63"/>
    </row>
    <row r="427">
      <c r="A427" s="63"/>
    </row>
    <row r="428">
      <c r="A428" s="63"/>
    </row>
    <row r="429">
      <c r="A429" s="63"/>
    </row>
    <row r="430">
      <c r="A430" s="63"/>
    </row>
    <row r="431">
      <c r="A431" s="63"/>
    </row>
    <row r="432">
      <c r="A432" s="63"/>
    </row>
    <row r="433">
      <c r="A433" s="63"/>
    </row>
    <row r="434">
      <c r="A434" s="63"/>
    </row>
    <row r="435">
      <c r="A435" s="63"/>
    </row>
    <row r="436">
      <c r="A436" s="63"/>
    </row>
    <row r="437">
      <c r="A437" s="63"/>
    </row>
    <row r="438">
      <c r="A438" s="63"/>
    </row>
    <row r="439">
      <c r="A439" s="63"/>
    </row>
    <row r="440">
      <c r="A440" s="63"/>
    </row>
    <row r="441">
      <c r="A441" s="63"/>
    </row>
    <row r="442">
      <c r="A442" s="63"/>
    </row>
    <row r="443">
      <c r="A443" s="63"/>
    </row>
    <row r="444">
      <c r="A444" s="63"/>
    </row>
    <row r="445">
      <c r="A445" s="63"/>
    </row>
    <row r="446">
      <c r="A446" s="63"/>
    </row>
    <row r="447">
      <c r="A447" s="63"/>
    </row>
    <row r="448">
      <c r="A448" s="63"/>
    </row>
    <row r="449">
      <c r="A449" s="63"/>
    </row>
    <row r="450">
      <c r="A450" s="63"/>
    </row>
    <row r="451">
      <c r="A451" s="63"/>
    </row>
    <row r="452">
      <c r="A452" s="63"/>
    </row>
    <row r="453">
      <c r="A453" s="63"/>
    </row>
    <row r="454">
      <c r="A454" s="63"/>
    </row>
    <row r="455">
      <c r="A455" s="63"/>
    </row>
    <row r="456">
      <c r="A456" s="63"/>
    </row>
    <row r="457">
      <c r="A457" s="63"/>
    </row>
    <row r="458">
      <c r="A458" s="63"/>
    </row>
    <row r="459">
      <c r="A459" s="63"/>
    </row>
    <row r="460">
      <c r="A460" s="63"/>
    </row>
    <row r="461">
      <c r="A461" s="63"/>
    </row>
    <row r="462">
      <c r="A462" s="63"/>
    </row>
    <row r="463">
      <c r="A463" s="63"/>
    </row>
    <row r="464">
      <c r="A464" s="63"/>
    </row>
    <row r="465">
      <c r="A465" s="63"/>
    </row>
    <row r="466">
      <c r="A466" s="63"/>
    </row>
    <row r="467">
      <c r="A467" s="63"/>
    </row>
    <row r="468">
      <c r="A468" s="63"/>
    </row>
    <row r="469">
      <c r="A469" s="63"/>
    </row>
    <row r="470">
      <c r="A470" s="63"/>
    </row>
    <row r="471">
      <c r="A471" s="63"/>
    </row>
    <row r="472">
      <c r="A472" s="63"/>
    </row>
    <row r="473">
      <c r="A473" s="63"/>
    </row>
    <row r="474">
      <c r="A474" s="63"/>
    </row>
    <row r="475">
      <c r="A475" s="63"/>
    </row>
    <row r="476">
      <c r="A476" s="63"/>
    </row>
    <row r="477">
      <c r="A477" s="63"/>
    </row>
    <row r="478">
      <c r="A478" s="63"/>
    </row>
    <row r="479">
      <c r="A479" s="63"/>
    </row>
    <row r="480">
      <c r="A480" s="63"/>
    </row>
    <row r="481">
      <c r="A481" s="63"/>
    </row>
    <row r="482">
      <c r="A482" s="63"/>
    </row>
    <row r="483">
      <c r="A483" s="63"/>
    </row>
    <row r="484">
      <c r="A484" s="63"/>
    </row>
    <row r="485">
      <c r="A485" s="63"/>
    </row>
    <row r="486">
      <c r="A486" s="63"/>
    </row>
    <row r="487">
      <c r="A487" s="63"/>
    </row>
    <row r="488">
      <c r="A488" s="63"/>
    </row>
    <row r="489">
      <c r="A489" s="63"/>
    </row>
    <row r="490">
      <c r="A490" s="63"/>
    </row>
    <row r="491">
      <c r="A491" s="63"/>
    </row>
    <row r="492">
      <c r="A492" s="63"/>
    </row>
    <row r="493">
      <c r="A493" s="63"/>
    </row>
    <row r="494">
      <c r="A494" s="63"/>
    </row>
    <row r="495">
      <c r="A495" s="63"/>
    </row>
    <row r="496">
      <c r="A496" s="63"/>
    </row>
    <row r="497">
      <c r="A497" s="63"/>
    </row>
    <row r="498">
      <c r="A498" s="63"/>
    </row>
    <row r="499">
      <c r="A499" s="63"/>
    </row>
    <row r="500">
      <c r="A500" s="63"/>
    </row>
    <row r="501">
      <c r="A501" s="63"/>
    </row>
    <row r="502">
      <c r="A502" s="63"/>
    </row>
    <row r="503">
      <c r="A503" s="63"/>
    </row>
    <row r="504">
      <c r="A504" s="63"/>
    </row>
    <row r="505">
      <c r="A505" s="63"/>
    </row>
    <row r="506">
      <c r="A506" s="63"/>
    </row>
    <row r="507">
      <c r="A507" s="63"/>
    </row>
    <row r="508">
      <c r="A508" s="63"/>
    </row>
    <row r="509">
      <c r="A509" s="63"/>
    </row>
    <row r="510">
      <c r="A510" s="63"/>
    </row>
    <row r="511">
      <c r="A511" s="63"/>
    </row>
    <row r="512">
      <c r="A512" s="63"/>
    </row>
    <row r="513">
      <c r="A513" s="63"/>
    </row>
    <row r="514">
      <c r="A514" s="63"/>
    </row>
    <row r="515">
      <c r="A515" s="63"/>
    </row>
    <row r="516">
      <c r="A516" s="63"/>
    </row>
    <row r="517">
      <c r="A517" s="63"/>
    </row>
    <row r="518">
      <c r="A518" s="63"/>
    </row>
    <row r="519">
      <c r="A519" s="63"/>
    </row>
    <row r="520">
      <c r="A520" s="63"/>
    </row>
    <row r="521">
      <c r="A521" s="63"/>
    </row>
    <row r="522">
      <c r="A522" s="63"/>
    </row>
    <row r="523">
      <c r="A523" s="63"/>
    </row>
    <row r="524">
      <c r="A524" s="63"/>
    </row>
    <row r="525">
      <c r="A525" s="63"/>
    </row>
    <row r="526">
      <c r="A526" s="63"/>
    </row>
    <row r="527">
      <c r="A527" s="63"/>
    </row>
    <row r="528">
      <c r="A528" s="63"/>
    </row>
    <row r="529">
      <c r="A529" s="63"/>
    </row>
    <row r="530">
      <c r="A530" s="63"/>
    </row>
    <row r="531">
      <c r="A531" s="63"/>
    </row>
    <row r="532">
      <c r="A532" s="63"/>
    </row>
    <row r="533">
      <c r="A533" s="63"/>
    </row>
    <row r="534">
      <c r="A534" s="63"/>
    </row>
    <row r="535">
      <c r="A535" s="63"/>
    </row>
    <row r="536">
      <c r="A536" s="63"/>
    </row>
    <row r="537">
      <c r="A537" s="63"/>
    </row>
    <row r="538">
      <c r="A538" s="63"/>
    </row>
    <row r="539">
      <c r="A539" s="63"/>
    </row>
    <row r="540">
      <c r="A540" s="63"/>
    </row>
    <row r="541">
      <c r="A541" s="63"/>
    </row>
    <row r="542">
      <c r="A542" s="63"/>
    </row>
    <row r="543">
      <c r="A543" s="63"/>
    </row>
    <row r="544">
      <c r="A544" s="63"/>
    </row>
    <row r="545">
      <c r="A545" s="63"/>
    </row>
    <row r="546">
      <c r="A546" s="63"/>
    </row>
    <row r="547">
      <c r="A547" s="63"/>
    </row>
    <row r="548">
      <c r="A548" s="63"/>
    </row>
    <row r="549">
      <c r="A549" s="63"/>
    </row>
    <row r="550">
      <c r="A550" s="63"/>
    </row>
    <row r="551">
      <c r="A551" s="63"/>
    </row>
    <row r="552">
      <c r="A552" s="63"/>
    </row>
    <row r="553">
      <c r="A553" s="63"/>
    </row>
    <row r="554">
      <c r="A554" s="63"/>
    </row>
    <row r="555">
      <c r="A555" s="63"/>
    </row>
    <row r="556">
      <c r="A556" s="63"/>
    </row>
    <row r="557">
      <c r="A557" s="63"/>
    </row>
    <row r="558">
      <c r="A558" s="63"/>
    </row>
    <row r="559">
      <c r="A559" s="63"/>
    </row>
    <row r="560">
      <c r="A560" s="63"/>
    </row>
    <row r="561">
      <c r="A561" s="63"/>
    </row>
    <row r="562">
      <c r="A562" s="63"/>
    </row>
    <row r="563">
      <c r="A563" s="63"/>
    </row>
    <row r="564">
      <c r="A564" s="63"/>
    </row>
    <row r="565">
      <c r="A565" s="63"/>
    </row>
    <row r="566">
      <c r="A566" s="63"/>
    </row>
    <row r="567">
      <c r="A567" s="63"/>
    </row>
    <row r="568">
      <c r="A568" s="63"/>
    </row>
    <row r="569">
      <c r="A569" s="63"/>
    </row>
    <row r="570">
      <c r="A570" s="63"/>
    </row>
    <row r="571">
      <c r="A571" s="63"/>
    </row>
    <row r="572">
      <c r="A572" s="63"/>
    </row>
    <row r="573">
      <c r="A573" s="63"/>
    </row>
    <row r="574">
      <c r="A574" s="63"/>
    </row>
    <row r="575">
      <c r="A575" s="63"/>
    </row>
    <row r="576">
      <c r="A576" s="63"/>
    </row>
    <row r="577">
      <c r="A577" s="63"/>
    </row>
    <row r="578">
      <c r="A578" s="63"/>
    </row>
    <row r="579">
      <c r="A579" s="63"/>
    </row>
    <row r="580">
      <c r="A580" s="63"/>
    </row>
    <row r="581">
      <c r="A581" s="63"/>
    </row>
    <row r="582">
      <c r="A582" s="63"/>
    </row>
    <row r="583">
      <c r="A583" s="63"/>
    </row>
    <row r="584">
      <c r="A584" s="63"/>
    </row>
    <row r="585">
      <c r="A585" s="63"/>
    </row>
    <row r="586">
      <c r="A586" s="63"/>
    </row>
    <row r="587">
      <c r="A587" s="63"/>
    </row>
    <row r="588">
      <c r="A588" s="63"/>
    </row>
    <row r="589">
      <c r="A589" s="63"/>
    </row>
    <row r="590">
      <c r="A590" s="63"/>
    </row>
    <row r="591">
      <c r="A591" s="63"/>
    </row>
    <row r="592">
      <c r="A592" s="63"/>
    </row>
    <row r="593">
      <c r="A593" s="63"/>
    </row>
    <row r="594">
      <c r="A594" s="63"/>
    </row>
    <row r="595">
      <c r="A595" s="63"/>
    </row>
    <row r="596">
      <c r="A596" s="63"/>
    </row>
    <row r="597">
      <c r="A597" s="63"/>
    </row>
    <row r="598">
      <c r="A598" s="63"/>
    </row>
    <row r="599">
      <c r="A599" s="63"/>
    </row>
    <row r="600">
      <c r="A600" s="63"/>
    </row>
    <row r="601">
      <c r="A601" s="63"/>
    </row>
    <row r="602">
      <c r="A602" s="63"/>
    </row>
    <row r="603">
      <c r="A603" s="63"/>
    </row>
    <row r="604">
      <c r="A604" s="63"/>
    </row>
    <row r="605">
      <c r="A605" s="63"/>
    </row>
    <row r="606">
      <c r="A606" s="63"/>
    </row>
    <row r="607">
      <c r="A607" s="63"/>
    </row>
    <row r="608">
      <c r="A608" s="63"/>
    </row>
    <row r="609">
      <c r="A609" s="63"/>
    </row>
    <row r="610">
      <c r="A610" s="63"/>
    </row>
    <row r="611">
      <c r="A611" s="63"/>
    </row>
    <row r="612">
      <c r="A612" s="63"/>
    </row>
    <row r="613">
      <c r="A613" s="63"/>
    </row>
    <row r="614">
      <c r="A614" s="63"/>
    </row>
    <row r="615">
      <c r="A615" s="63"/>
    </row>
    <row r="616">
      <c r="A616" s="63"/>
    </row>
    <row r="617">
      <c r="A617" s="63"/>
    </row>
    <row r="618">
      <c r="A618" s="63"/>
    </row>
    <row r="619">
      <c r="A619" s="63"/>
    </row>
    <row r="620">
      <c r="A620" s="63"/>
    </row>
    <row r="621">
      <c r="A621" s="63"/>
    </row>
    <row r="622">
      <c r="A622" s="63"/>
    </row>
    <row r="623">
      <c r="A623" s="63"/>
    </row>
    <row r="624">
      <c r="A624" s="63"/>
    </row>
    <row r="625">
      <c r="A625" s="63"/>
    </row>
    <row r="626">
      <c r="A626" s="63"/>
    </row>
    <row r="627">
      <c r="A627" s="63"/>
    </row>
    <row r="628">
      <c r="A628" s="63"/>
    </row>
    <row r="629">
      <c r="A629" s="63"/>
    </row>
    <row r="630">
      <c r="A630" s="63"/>
    </row>
    <row r="631">
      <c r="A631" s="63"/>
    </row>
    <row r="632">
      <c r="A632" s="63"/>
    </row>
    <row r="633">
      <c r="A633" s="63"/>
    </row>
    <row r="634">
      <c r="A634" s="63"/>
    </row>
    <row r="635">
      <c r="A635" s="63"/>
    </row>
    <row r="636">
      <c r="A636" s="63"/>
    </row>
    <row r="637">
      <c r="A637" s="63"/>
    </row>
    <row r="638">
      <c r="A638" s="63"/>
    </row>
    <row r="639">
      <c r="A639" s="63"/>
    </row>
    <row r="640">
      <c r="A640" s="63"/>
    </row>
    <row r="641">
      <c r="A641" s="63"/>
    </row>
    <row r="642">
      <c r="A642" s="63"/>
    </row>
    <row r="643">
      <c r="A643" s="63"/>
    </row>
    <row r="644">
      <c r="A644" s="63"/>
    </row>
    <row r="645">
      <c r="A645" s="63"/>
    </row>
    <row r="646">
      <c r="A646" s="63"/>
    </row>
    <row r="647">
      <c r="A647" s="63"/>
    </row>
    <row r="648">
      <c r="A648" s="63"/>
    </row>
    <row r="649">
      <c r="A649" s="63"/>
    </row>
    <row r="650">
      <c r="A650" s="63"/>
    </row>
    <row r="651">
      <c r="A651" s="63"/>
    </row>
    <row r="652">
      <c r="A652" s="63"/>
    </row>
    <row r="653">
      <c r="A653" s="63"/>
    </row>
    <row r="654">
      <c r="A654" s="63"/>
    </row>
    <row r="655">
      <c r="A655" s="63"/>
    </row>
    <row r="656">
      <c r="A656" s="63"/>
    </row>
    <row r="657">
      <c r="A657" s="63"/>
    </row>
    <row r="658">
      <c r="A658" s="63"/>
    </row>
    <row r="659">
      <c r="A659" s="63"/>
    </row>
    <row r="660">
      <c r="A660" s="63"/>
    </row>
    <row r="661">
      <c r="A661" s="63"/>
    </row>
    <row r="662">
      <c r="A662" s="63"/>
    </row>
    <row r="663">
      <c r="A663" s="63"/>
    </row>
    <row r="664">
      <c r="A664" s="63"/>
    </row>
    <row r="665">
      <c r="A665" s="63"/>
    </row>
    <row r="666">
      <c r="A666" s="63"/>
    </row>
    <row r="667">
      <c r="A667" s="63"/>
    </row>
    <row r="668">
      <c r="A668" s="63"/>
    </row>
    <row r="669">
      <c r="A669" s="63"/>
    </row>
    <row r="670">
      <c r="A670" s="63"/>
    </row>
    <row r="671">
      <c r="A671" s="63"/>
    </row>
    <row r="672">
      <c r="A672" s="63"/>
    </row>
    <row r="673">
      <c r="A673" s="63"/>
    </row>
    <row r="674">
      <c r="A674" s="63"/>
    </row>
    <row r="675">
      <c r="A675" s="63"/>
    </row>
    <row r="676">
      <c r="A676" s="63"/>
    </row>
    <row r="677">
      <c r="A677" s="63"/>
    </row>
    <row r="678">
      <c r="A678" s="63"/>
    </row>
    <row r="679">
      <c r="A679" s="63"/>
    </row>
    <row r="680">
      <c r="A680" s="63"/>
    </row>
    <row r="681">
      <c r="A681" s="63"/>
    </row>
    <row r="682">
      <c r="A682" s="63"/>
    </row>
    <row r="683">
      <c r="A683" s="63"/>
    </row>
    <row r="684">
      <c r="A684" s="63"/>
    </row>
    <row r="685">
      <c r="A685" s="63"/>
    </row>
    <row r="686">
      <c r="A686" s="63"/>
    </row>
    <row r="687">
      <c r="A687" s="63"/>
    </row>
    <row r="688">
      <c r="A688" s="63"/>
    </row>
    <row r="689">
      <c r="A689" s="63"/>
    </row>
    <row r="690">
      <c r="A690" s="63"/>
    </row>
    <row r="691">
      <c r="A691" s="63"/>
    </row>
    <row r="692">
      <c r="A692" s="63"/>
    </row>
    <row r="693">
      <c r="A693" s="63"/>
    </row>
    <row r="694">
      <c r="A694" s="63"/>
    </row>
    <row r="695">
      <c r="A695" s="63"/>
    </row>
    <row r="696">
      <c r="A696" s="63"/>
    </row>
    <row r="697">
      <c r="A697" s="63"/>
    </row>
    <row r="698">
      <c r="A698" s="63"/>
    </row>
    <row r="699">
      <c r="A699" s="63"/>
    </row>
    <row r="700">
      <c r="A700" s="63"/>
    </row>
    <row r="701">
      <c r="A701" s="63"/>
    </row>
    <row r="702">
      <c r="A702" s="63"/>
    </row>
    <row r="703">
      <c r="A703" s="63"/>
    </row>
    <row r="704">
      <c r="A704" s="63"/>
    </row>
    <row r="705">
      <c r="A705" s="63"/>
    </row>
    <row r="706">
      <c r="A706" s="63"/>
    </row>
    <row r="707">
      <c r="A707" s="63"/>
    </row>
    <row r="708">
      <c r="A708" s="63"/>
    </row>
    <row r="709">
      <c r="A709" s="63"/>
    </row>
    <row r="710">
      <c r="A710" s="63"/>
    </row>
    <row r="711">
      <c r="A711" s="63"/>
    </row>
    <row r="712">
      <c r="A712" s="63"/>
    </row>
    <row r="713">
      <c r="A713" s="63"/>
    </row>
    <row r="714">
      <c r="A714" s="63"/>
    </row>
    <row r="715">
      <c r="A715" s="63"/>
    </row>
    <row r="716">
      <c r="A716" s="63"/>
    </row>
    <row r="717">
      <c r="A717" s="63"/>
    </row>
    <row r="718">
      <c r="A718" s="63"/>
    </row>
    <row r="719">
      <c r="A719" s="63"/>
    </row>
    <row r="720">
      <c r="A720" s="63"/>
    </row>
    <row r="721">
      <c r="A721" s="63"/>
    </row>
    <row r="722">
      <c r="A722" s="63"/>
    </row>
    <row r="723">
      <c r="A723" s="63"/>
    </row>
    <row r="724">
      <c r="A724" s="63"/>
    </row>
    <row r="725">
      <c r="A725" s="63"/>
    </row>
    <row r="726">
      <c r="A726" s="63"/>
    </row>
    <row r="727">
      <c r="A727" s="63"/>
    </row>
    <row r="728">
      <c r="A728" s="63"/>
    </row>
    <row r="729">
      <c r="A729" s="63"/>
    </row>
    <row r="730">
      <c r="A730" s="63"/>
    </row>
    <row r="731">
      <c r="A731" s="63"/>
    </row>
    <row r="732">
      <c r="A732" s="63"/>
    </row>
    <row r="733">
      <c r="A733" s="63"/>
    </row>
    <row r="734">
      <c r="A734" s="63"/>
    </row>
    <row r="735">
      <c r="A735" s="63"/>
    </row>
    <row r="736">
      <c r="A736" s="63"/>
    </row>
    <row r="737">
      <c r="A737" s="63"/>
    </row>
    <row r="738">
      <c r="A738" s="63"/>
    </row>
    <row r="739">
      <c r="A739" s="63"/>
    </row>
    <row r="740">
      <c r="A740" s="63"/>
    </row>
    <row r="741">
      <c r="A741" s="63"/>
    </row>
    <row r="742">
      <c r="A742" s="63"/>
    </row>
    <row r="743">
      <c r="A743" s="63"/>
    </row>
    <row r="744">
      <c r="A744" s="63"/>
    </row>
    <row r="745">
      <c r="A745" s="63"/>
    </row>
    <row r="746">
      <c r="A746" s="63"/>
    </row>
    <row r="747">
      <c r="A747" s="63"/>
    </row>
    <row r="748">
      <c r="A748" s="63"/>
    </row>
    <row r="749">
      <c r="A749" s="63"/>
    </row>
    <row r="750">
      <c r="A750" s="63"/>
    </row>
    <row r="751">
      <c r="A751" s="63"/>
    </row>
    <row r="752">
      <c r="A752" s="63"/>
    </row>
    <row r="753">
      <c r="A753" s="63"/>
    </row>
    <row r="754">
      <c r="A754" s="63"/>
    </row>
    <row r="755">
      <c r="A755" s="63"/>
    </row>
    <row r="756">
      <c r="A756" s="63"/>
    </row>
    <row r="757">
      <c r="A757" s="63"/>
    </row>
    <row r="758">
      <c r="A758" s="63"/>
    </row>
    <row r="759">
      <c r="A759" s="63"/>
    </row>
    <row r="760">
      <c r="A760" s="63"/>
    </row>
    <row r="761">
      <c r="A761" s="63"/>
    </row>
    <row r="762">
      <c r="A762" s="63"/>
    </row>
    <row r="763">
      <c r="A763" s="63"/>
    </row>
    <row r="764">
      <c r="A764" s="63"/>
    </row>
    <row r="765">
      <c r="A765" s="63"/>
    </row>
    <row r="766">
      <c r="A766" s="63"/>
    </row>
    <row r="767">
      <c r="A767" s="63"/>
    </row>
    <row r="768">
      <c r="A768" s="63"/>
    </row>
    <row r="769">
      <c r="A769" s="63"/>
    </row>
    <row r="770">
      <c r="A770" s="63"/>
    </row>
    <row r="771">
      <c r="A771" s="63"/>
    </row>
    <row r="772">
      <c r="A772" s="63"/>
    </row>
    <row r="773">
      <c r="A773" s="63"/>
    </row>
    <row r="774">
      <c r="A774" s="63"/>
    </row>
    <row r="775">
      <c r="A775" s="63"/>
    </row>
    <row r="776">
      <c r="A776" s="63"/>
    </row>
    <row r="777">
      <c r="A777" s="63"/>
    </row>
    <row r="778">
      <c r="A778" s="63"/>
    </row>
    <row r="779">
      <c r="A779" s="63"/>
    </row>
    <row r="780">
      <c r="A780" s="63"/>
    </row>
    <row r="781">
      <c r="A781" s="63"/>
    </row>
    <row r="782">
      <c r="A782" s="63"/>
    </row>
    <row r="783">
      <c r="A783" s="63"/>
    </row>
    <row r="784">
      <c r="A784" s="63"/>
    </row>
    <row r="785">
      <c r="A785" s="63"/>
    </row>
    <row r="786">
      <c r="A786" s="63"/>
    </row>
    <row r="787">
      <c r="A787" s="63"/>
    </row>
    <row r="788">
      <c r="A788" s="63"/>
    </row>
    <row r="789">
      <c r="A789" s="63"/>
    </row>
    <row r="790">
      <c r="A790" s="63"/>
    </row>
    <row r="791">
      <c r="A791" s="63"/>
    </row>
    <row r="792">
      <c r="A792" s="63"/>
    </row>
    <row r="793">
      <c r="A793" s="63"/>
    </row>
    <row r="794">
      <c r="A794" s="63"/>
    </row>
    <row r="795">
      <c r="A795" s="63"/>
    </row>
    <row r="796">
      <c r="A796" s="63"/>
    </row>
    <row r="797">
      <c r="A797" s="63"/>
    </row>
    <row r="798">
      <c r="A798" s="63"/>
    </row>
    <row r="799">
      <c r="A799" s="63"/>
    </row>
    <row r="800">
      <c r="A800" s="63"/>
    </row>
    <row r="801">
      <c r="A801" s="63"/>
    </row>
    <row r="802">
      <c r="A802" s="63"/>
    </row>
    <row r="803">
      <c r="A803" s="63"/>
    </row>
    <row r="804">
      <c r="A804" s="63"/>
    </row>
    <row r="805">
      <c r="A805" s="63"/>
    </row>
    <row r="806">
      <c r="A806" s="63"/>
    </row>
    <row r="807">
      <c r="A807" s="63"/>
    </row>
    <row r="808">
      <c r="A808" s="63"/>
    </row>
    <row r="809">
      <c r="A809" s="63"/>
    </row>
    <row r="810">
      <c r="A810" s="63"/>
    </row>
    <row r="811">
      <c r="A811" s="63"/>
    </row>
    <row r="812">
      <c r="A812" s="63"/>
    </row>
    <row r="813">
      <c r="A813" s="63"/>
    </row>
    <row r="814">
      <c r="A814" s="63"/>
    </row>
    <row r="815">
      <c r="A815" s="63"/>
    </row>
    <row r="816">
      <c r="A816" s="63"/>
    </row>
    <row r="817">
      <c r="A817" s="63"/>
    </row>
    <row r="818">
      <c r="A818" s="63"/>
    </row>
    <row r="819">
      <c r="A819" s="63"/>
    </row>
    <row r="820">
      <c r="A820" s="63"/>
    </row>
    <row r="821">
      <c r="A821" s="63"/>
    </row>
    <row r="822">
      <c r="A822" s="63"/>
    </row>
    <row r="823">
      <c r="A823" s="63"/>
    </row>
    <row r="824">
      <c r="A824" s="63"/>
    </row>
    <row r="825">
      <c r="A825" s="63"/>
    </row>
    <row r="826">
      <c r="A826" s="63"/>
    </row>
    <row r="827">
      <c r="A827" s="63"/>
    </row>
    <row r="828">
      <c r="A828" s="63"/>
    </row>
    <row r="829">
      <c r="A829" s="63"/>
    </row>
    <row r="830">
      <c r="A830" s="63"/>
    </row>
    <row r="831">
      <c r="A831" s="63"/>
    </row>
    <row r="832">
      <c r="A832" s="63"/>
    </row>
    <row r="833">
      <c r="A833" s="63"/>
    </row>
    <row r="834">
      <c r="A834" s="63"/>
    </row>
    <row r="835">
      <c r="A835" s="63"/>
    </row>
    <row r="836">
      <c r="A836" s="63"/>
    </row>
    <row r="837">
      <c r="A837" s="63"/>
    </row>
    <row r="838">
      <c r="A838" s="63"/>
    </row>
    <row r="839">
      <c r="A839" s="63"/>
    </row>
    <row r="840">
      <c r="A840" s="63"/>
    </row>
    <row r="841">
      <c r="A841" s="63"/>
    </row>
    <row r="842">
      <c r="A842" s="63"/>
    </row>
    <row r="843">
      <c r="A843" s="63"/>
    </row>
    <row r="844">
      <c r="A844" s="63"/>
    </row>
    <row r="845">
      <c r="A845" s="63"/>
    </row>
    <row r="846">
      <c r="A846" s="63"/>
    </row>
    <row r="847">
      <c r="A847" s="63"/>
    </row>
    <row r="848">
      <c r="A848" s="63"/>
    </row>
    <row r="849">
      <c r="A849" s="63"/>
    </row>
    <row r="850">
      <c r="A850" s="63"/>
    </row>
    <row r="851">
      <c r="A851" s="63"/>
    </row>
    <row r="852">
      <c r="A852" s="63"/>
    </row>
    <row r="853">
      <c r="A853" s="63"/>
    </row>
    <row r="854">
      <c r="A854" s="63"/>
    </row>
    <row r="855">
      <c r="A855" s="63"/>
    </row>
    <row r="856">
      <c r="A856" s="63"/>
    </row>
    <row r="857">
      <c r="A857" s="63"/>
    </row>
    <row r="858">
      <c r="A858" s="63"/>
    </row>
    <row r="859">
      <c r="A859" s="63"/>
    </row>
    <row r="860">
      <c r="A860" s="63"/>
    </row>
    <row r="861">
      <c r="A861" s="63"/>
    </row>
    <row r="862">
      <c r="A862" s="63"/>
    </row>
    <row r="863">
      <c r="A863" s="63"/>
    </row>
    <row r="864">
      <c r="A864" s="63"/>
    </row>
    <row r="865">
      <c r="A865" s="63"/>
    </row>
    <row r="866">
      <c r="A866" s="63"/>
    </row>
    <row r="867">
      <c r="A867" s="63"/>
    </row>
    <row r="868">
      <c r="A868" s="63"/>
    </row>
    <row r="869">
      <c r="A869" s="63"/>
    </row>
    <row r="870">
      <c r="A870" s="63"/>
    </row>
    <row r="871">
      <c r="A871" s="63"/>
    </row>
    <row r="872">
      <c r="A872" s="63"/>
    </row>
    <row r="873">
      <c r="A873" s="63"/>
    </row>
    <row r="874">
      <c r="A874" s="63"/>
    </row>
    <row r="875">
      <c r="A875" s="63"/>
    </row>
    <row r="876">
      <c r="A876" s="63"/>
    </row>
    <row r="877">
      <c r="A877" s="63"/>
    </row>
    <row r="878">
      <c r="A878" s="63"/>
    </row>
    <row r="879">
      <c r="A879" s="63"/>
    </row>
    <row r="880">
      <c r="A880" s="63"/>
    </row>
    <row r="881">
      <c r="A881" s="63"/>
    </row>
    <row r="882">
      <c r="A882" s="63"/>
    </row>
    <row r="883">
      <c r="A883" s="63"/>
    </row>
    <row r="884">
      <c r="A884" s="63"/>
    </row>
    <row r="885">
      <c r="A885" s="63"/>
    </row>
    <row r="886">
      <c r="A886" s="63"/>
    </row>
    <row r="887">
      <c r="A887" s="63"/>
    </row>
    <row r="888">
      <c r="A888" s="63"/>
    </row>
    <row r="889">
      <c r="A889" s="63"/>
    </row>
    <row r="890">
      <c r="A890" s="63"/>
    </row>
    <row r="891">
      <c r="A891" s="63"/>
    </row>
    <row r="892">
      <c r="A892" s="63"/>
    </row>
    <row r="893">
      <c r="A893" s="63"/>
    </row>
    <row r="894">
      <c r="A894" s="63"/>
    </row>
    <row r="895">
      <c r="A895" s="63"/>
    </row>
    <row r="896">
      <c r="A896" s="63"/>
    </row>
    <row r="897">
      <c r="A897" s="63"/>
    </row>
    <row r="898">
      <c r="A898" s="63"/>
    </row>
    <row r="899">
      <c r="A899" s="63"/>
    </row>
    <row r="900">
      <c r="A900" s="63"/>
    </row>
    <row r="901">
      <c r="A901" s="63"/>
    </row>
    <row r="902">
      <c r="A902" s="63"/>
    </row>
    <row r="903">
      <c r="A903" s="63"/>
    </row>
    <row r="904">
      <c r="A904" s="63"/>
    </row>
    <row r="905">
      <c r="A905" s="63"/>
    </row>
    <row r="906">
      <c r="A906" s="63"/>
    </row>
    <row r="907">
      <c r="A907" s="63"/>
    </row>
    <row r="908">
      <c r="A908" s="63"/>
    </row>
    <row r="909">
      <c r="A909" s="63"/>
    </row>
    <row r="910">
      <c r="A910" s="63"/>
    </row>
    <row r="911">
      <c r="A911" s="63"/>
    </row>
    <row r="912">
      <c r="A912" s="63"/>
    </row>
    <row r="913">
      <c r="A913" s="63"/>
    </row>
    <row r="914">
      <c r="A914" s="63"/>
    </row>
    <row r="915">
      <c r="A915" s="63"/>
    </row>
    <row r="916">
      <c r="A916" s="63"/>
    </row>
    <row r="917">
      <c r="A917" s="63"/>
    </row>
    <row r="918">
      <c r="A918" s="63"/>
    </row>
    <row r="919">
      <c r="A919" s="63"/>
    </row>
    <row r="920">
      <c r="A920" s="63"/>
    </row>
    <row r="921">
      <c r="A921" s="63"/>
    </row>
    <row r="922">
      <c r="A922" s="63"/>
    </row>
    <row r="923">
      <c r="A923" s="63"/>
    </row>
    <row r="924">
      <c r="A924" s="63"/>
    </row>
    <row r="925">
      <c r="A925" s="63"/>
    </row>
    <row r="926">
      <c r="A926" s="63"/>
    </row>
    <row r="927">
      <c r="A927" s="63"/>
    </row>
    <row r="928">
      <c r="A928" s="63"/>
    </row>
    <row r="929">
      <c r="A929" s="63"/>
    </row>
    <row r="930">
      <c r="A930" s="63"/>
    </row>
    <row r="931">
      <c r="A931" s="63"/>
    </row>
    <row r="932">
      <c r="A932" s="63"/>
    </row>
    <row r="933">
      <c r="A933" s="63"/>
    </row>
    <row r="934">
      <c r="A934" s="63"/>
    </row>
    <row r="935">
      <c r="A935" s="63"/>
    </row>
    <row r="936">
      <c r="A936" s="63"/>
    </row>
    <row r="937">
      <c r="A937" s="63"/>
    </row>
    <row r="938">
      <c r="A938" s="63"/>
    </row>
    <row r="939">
      <c r="A939" s="63"/>
    </row>
    <row r="940">
      <c r="A940" s="63"/>
    </row>
    <row r="941">
      <c r="A941" s="63"/>
    </row>
    <row r="942">
      <c r="A942" s="63"/>
    </row>
    <row r="943">
      <c r="A943" s="63"/>
    </row>
    <row r="944">
      <c r="A944" s="63"/>
    </row>
    <row r="945">
      <c r="A945" s="63"/>
    </row>
    <row r="946">
      <c r="A946" s="63"/>
    </row>
    <row r="947">
      <c r="A947" s="63"/>
    </row>
    <row r="948">
      <c r="A948" s="63"/>
    </row>
    <row r="949">
      <c r="A949" s="63"/>
    </row>
    <row r="950">
      <c r="A950" s="63"/>
    </row>
    <row r="951">
      <c r="A951" s="63"/>
    </row>
    <row r="952">
      <c r="A952" s="63"/>
    </row>
    <row r="953">
      <c r="A953" s="63"/>
    </row>
    <row r="954">
      <c r="A954" s="63"/>
    </row>
    <row r="955">
      <c r="A955" s="63"/>
    </row>
    <row r="956">
      <c r="A956" s="63"/>
    </row>
    <row r="957">
      <c r="A957" s="63"/>
    </row>
    <row r="958">
      <c r="A958" s="63"/>
    </row>
    <row r="959">
      <c r="A959" s="63"/>
    </row>
    <row r="960">
      <c r="A960" s="63"/>
    </row>
    <row r="961">
      <c r="A961" s="63"/>
    </row>
    <row r="962">
      <c r="A962" s="63"/>
    </row>
    <row r="963">
      <c r="A963" s="63"/>
    </row>
    <row r="964">
      <c r="A964" s="63"/>
    </row>
    <row r="965">
      <c r="A965" s="63"/>
    </row>
    <row r="966">
      <c r="A966" s="63"/>
    </row>
    <row r="967">
      <c r="A967" s="63"/>
    </row>
    <row r="968">
      <c r="A968" s="63"/>
    </row>
    <row r="969">
      <c r="A969" s="63"/>
    </row>
    <row r="970">
      <c r="A970" s="63"/>
    </row>
    <row r="971">
      <c r="A971" s="63"/>
    </row>
    <row r="972">
      <c r="A972" s="63"/>
    </row>
    <row r="973">
      <c r="A973" s="63"/>
    </row>
    <row r="974">
      <c r="A974" s="63"/>
    </row>
    <row r="975">
      <c r="A975" s="63"/>
    </row>
    <row r="976">
      <c r="A976" s="63"/>
    </row>
    <row r="977">
      <c r="A977" s="63"/>
    </row>
    <row r="978">
      <c r="A978" s="63"/>
    </row>
    <row r="979">
      <c r="A979" s="63"/>
    </row>
    <row r="980">
      <c r="A980" s="63"/>
    </row>
    <row r="981">
      <c r="A981" s="63"/>
    </row>
    <row r="982">
      <c r="A982" s="63"/>
    </row>
    <row r="983">
      <c r="A983" s="63"/>
    </row>
    <row r="984">
      <c r="A984" s="63"/>
    </row>
    <row r="985">
      <c r="A985" s="63"/>
    </row>
    <row r="986">
      <c r="A986" s="63"/>
    </row>
    <row r="987">
      <c r="A987" s="63"/>
    </row>
    <row r="988">
      <c r="A988" s="63"/>
    </row>
    <row r="989">
      <c r="A989" s="63"/>
    </row>
    <row r="990">
      <c r="A990" s="63"/>
    </row>
    <row r="991">
      <c r="A991" s="63"/>
    </row>
    <row r="992">
      <c r="A992" s="63"/>
    </row>
    <row r="993">
      <c r="A993" s="63"/>
    </row>
    <row r="994">
      <c r="A994" s="63"/>
    </row>
    <row r="995">
      <c r="A995" s="63"/>
    </row>
    <row r="996">
      <c r="A996" s="63"/>
    </row>
    <row r="997">
      <c r="A997" s="63"/>
    </row>
    <row r="998">
      <c r="A998" s="63"/>
    </row>
    <row r="999">
      <c r="A999" s="63"/>
    </row>
    <row r="1000">
      <c r="A1000" s="63"/>
    </row>
    <row r="1001">
      <c r="A1001" s="63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22.0"/>
    <col customWidth="1" min="4" max="4" width="10.0"/>
    <col customWidth="1" min="5" max="5" width="9.0"/>
    <col customWidth="1" min="6" max="6" width="14.0"/>
    <col customWidth="1" min="7" max="7" width="30.0"/>
  </cols>
  <sheetData>
    <row r="1" ht="24.0" customHeight="1">
      <c r="A1" s="69" t="s">
        <v>122</v>
      </c>
      <c r="B1" s="70"/>
      <c r="C1" s="70"/>
      <c r="D1" s="70"/>
      <c r="E1" s="70"/>
      <c r="F1" s="70"/>
      <c r="G1" s="70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71"/>
      <c r="B2" s="71"/>
      <c r="C2" s="71"/>
      <c r="D2" s="71"/>
      <c r="E2" s="71"/>
      <c r="F2" s="71"/>
      <c r="G2" s="71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5">
        <f>FrontDesk_Log!C3</f>
        <v>110</v>
      </c>
      <c r="B3" s="48">
        <f>FrontDesk_Log!N3</f>
        <v>46022.3109</v>
      </c>
      <c r="C3" s="45" t="str">
        <f>FrontDesk_Log!O3</f>
        <v>Cleaned - ReadyFor Rent</v>
      </c>
      <c r="D3" s="45" t="str">
        <f t="shared" ref="D3:D199" si="1">IF(C3="","",IF(NOW()-B3&gt;TIME(1,0,0),"HIGH","NORMAL"))</f>
        <v>HIGH</v>
      </c>
      <c r="E3" s="45" t="str">
        <f>FrontDesk_Log!P3</f>
        <v>Yes</v>
      </c>
      <c r="F3" s="48" t="str">
        <f>FrontDesk_Log!Q3</f>
        <v/>
      </c>
      <c r="G3" s="51" t="str">
        <f>FrontDesk_Log!S3</f>
        <v/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5">
        <f>FrontDesk_Log!C4</f>
        <v>117</v>
      </c>
      <c r="B4" s="48">
        <f>FrontDesk_Log!N4</f>
        <v>46022.63949</v>
      </c>
      <c r="C4" s="45" t="str">
        <f>FrontDesk_Log!O4</f>
        <v>Cleaned - ReadyFor Rent</v>
      </c>
      <c r="D4" s="45" t="str">
        <f t="shared" si="1"/>
        <v>HIGH</v>
      </c>
      <c r="E4" s="45" t="str">
        <f>FrontDesk_Log!P4</f>
        <v>Yes</v>
      </c>
      <c r="F4" s="48">
        <f>FrontDesk_Log!Q4</f>
        <v>46025.33728</v>
      </c>
      <c r="G4" s="51" t="str">
        <f>FrontDesk_Log!S4</f>
        <v/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5">
        <f>FrontDesk_Log!C5</f>
        <v>119</v>
      </c>
      <c r="B5" s="48">
        <f>FrontDesk_Log!N5</f>
        <v>46024.38885</v>
      </c>
      <c r="C5" s="45" t="str">
        <f>FrontDesk_Log!O5</f>
        <v>Cleaned - ReadyFor Rent</v>
      </c>
      <c r="D5" s="45" t="str">
        <f t="shared" si="1"/>
        <v>HIGH</v>
      </c>
      <c r="E5" s="45" t="str">
        <f>FrontDesk_Log!P5</f>
        <v>Yes</v>
      </c>
      <c r="F5" s="48">
        <f>FrontDesk_Log!Q5</f>
        <v>46024.76509</v>
      </c>
      <c r="G5" s="51" t="str">
        <f>FrontDesk_Log!S5</f>
        <v/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45">
        <f>FrontDesk_Log!C6</f>
        <v>124</v>
      </c>
      <c r="B6" s="48" t="str">
        <f>FrontDesk_Log!N6</f>
        <v/>
      </c>
      <c r="C6" s="45" t="str">
        <f>FrontDesk_Log!O6</f>
        <v/>
      </c>
      <c r="D6" s="45" t="str">
        <f t="shared" si="1"/>
        <v/>
      </c>
      <c r="E6" s="45" t="str">
        <f>FrontDesk_Log!P6</f>
        <v/>
      </c>
      <c r="F6" s="48" t="str">
        <f>FrontDesk_Log!Q6</f>
        <v/>
      </c>
      <c r="G6" s="51" t="str">
        <f>FrontDesk_Log!S6</f>
        <v/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5">
        <f>FrontDesk_Log!C7</f>
        <v>107</v>
      </c>
      <c r="B7" s="48">
        <f>FrontDesk_Log!N7</f>
        <v>46024.26954</v>
      </c>
      <c r="C7" s="45" t="str">
        <f>FrontDesk_Log!O7</f>
        <v>Cleaned - ReadyFor Rent</v>
      </c>
      <c r="D7" s="45" t="str">
        <f t="shared" si="1"/>
        <v>HIGH</v>
      </c>
      <c r="E7" s="45" t="str">
        <f>FrontDesk_Log!P7</f>
        <v>Yes</v>
      </c>
      <c r="F7" s="48">
        <f>FrontDesk_Log!Q7</f>
        <v>46024.76543</v>
      </c>
      <c r="G7" s="51" t="str">
        <f>FrontDesk_Log!S7</f>
        <v/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5">
        <f>FrontDesk_Log!C8</f>
        <v>110</v>
      </c>
      <c r="B8" s="48">
        <f>FrontDesk_Log!N8</f>
        <v>46024.26566</v>
      </c>
      <c r="C8" s="45" t="str">
        <f>FrontDesk_Log!O8</f>
        <v>Cleaned - ReadyFor Rent</v>
      </c>
      <c r="D8" s="45" t="str">
        <f t="shared" si="1"/>
        <v>HIGH</v>
      </c>
      <c r="E8" s="45" t="str">
        <f>FrontDesk_Log!P8</f>
        <v>Yes</v>
      </c>
      <c r="F8" s="48">
        <f>FrontDesk_Log!Q8</f>
        <v>46024.76465</v>
      </c>
      <c r="G8" s="51" t="str">
        <f>FrontDesk_Log!S8</f>
        <v/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5">
        <f>FrontDesk_Log!C9</f>
        <v>120</v>
      </c>
      <c r="B9" s="48" t="str">
        <f>FrontDesk_Log!N9</f>
        <v/>
      </c>
      <c r="C9" s="45" t="str">
        <f>FrontDesk_Log!O9</f>
        <v/>
      </c>
      <c r="D9" s="45" t="str">
        <f t="shared" si="1"/>
        <v/>
      </c>
      <c r="E9" s="45" t="str">
        <f>FrontDesk_Log!P9</f>
        <v/>
      </c>
      <c r="F9" s="48" t="str">
        <f>FrontDesk_Log!Q9</f>
        <v/>
      </c>
      <c r="G9" s="51" t="str">
        <f>FrontDesk_Log!S9</f>
        <v/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5">
        <f>FrontDesk_Log!C10</f>
        <v>109</v>
      </c>
      <c r="B10" s="48">
        <f>FrontDesk_Log!N10</f>
        <v>46022.96424</v>
      </c>
      <c r="C10" s="45" t="str">
        <f>FrontDesk_Log!O10</f>
        <v>Cleaned - ReadyFor Rent</v>
      </c>
      <c r="D10" s="45" t="str">
        <f t="shared" si="1"/>
        <v>HIGH</v>
      </c>
      <c r="E10" s="45" t="str">
        <f>FrontDesk_Log!P10</f>
        <v>Yes</v>
      </c>
      <c r="F10" s="48">
        <f>FrontDesk_Log!Q10</f>
        <v>46023.59737</v>
      </c>
      <c r="G10" s="51" t="str">
        <f>FrontDesk_Log!S10</f>
        <v/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5">
        <f>FrontDesk_Log!C11</f>
        <v>116</v>
      </c>
      <c r="B11" s="48">
        <f>FrontDesk_Log!N11</f>
        <v>46023.41319</v>
      </c>
      <c r="C11" s="45" t="str">
        <f>FrontDesk_Log!O11</f>
        <v>Cleaned - ReadyFor Rent</v>
      </c>
      <c r="D11" s="45" t="str">
        <f t="shared" si="1"/>
        <v>HIGH</v>
      </c>
      <c r="E11" s="45" t="str">
        <f>FrontDesk_Log!P11</f>
        <v>Yes</v>
      </c>
      <c r="F11" s="48">
        <f>FrontDesk_Log!Q11</f>
        <v>46023.59678</v>
      </c>
      <c r="G11" s="51" t="str">
        <f>FrontDesk_Log!S11</f>
        <v/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5">
        <f>FrontDesk_Log!C12</f>
        <v>118</v>
      </c>
      <c r="B12" s="48">
        <f>FrontDesk_Log!N12</f>
        <v>46022.98584</v>
      </c>
      <c r="C12" s="45" t="str">
        <f>FrontDesk_Log!O12</f>
        <v>Cleaned - ReadyFor Rent</v>
      </c>
      <c r="D12" s="45" t="str">
        <f t="shared" si="1"/>
        <v>HIGH</v>
      </c>
      <c r="E12" s="45" t="str">
        <f>FrontDesk_Log!P12</f>
        <v>Yes</v>
      </c>
      <c r="F12" s="48">
        <f>FrontDesk_Log!Q12</f>
        <v>46023.59787</v>
      </c>
      <c r="G12" s="51" t="str">
        <f>FrontDesk_Log!S12</f>
        <v/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5">
        <f>FrontDesk_Log!C13</f>
        <v>104</v>
      </c>
      <c r="B13" s="48">
        <f>FrontDesk_Log!N13</f>
        <v>46023.04587</v>
      </c>
      <c r="C13" s="45" t="str">
        <f>FrontDesk_Log!O13</f>
        <v>Cleaned - ReadyFor Rent</v>
      </c>
      <c r="D13" s="45" t="str">
        <f t="shared" si="1"/>
        <v>HIGH</v>
      </c>
      <c r="E13" s="45" t="str">
        <f>FrontDesk_Log!P13</f>
        <v>Yes</v>
      </c>
      <c r="F13" s="48">
        <f>FrontDesk_Log!Q13</f>
        <v>46023.59715</v>
      </c>
      <c r="G13" s="51" t="str">
        <f>FrontDesk_Log!S13</f>
        <v/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5">
        <f>FrontDesk_Log!C14</f>
        <v>141</v>
      </c>
      <c r="B14" s="48">
        <f>FrontDesk_Log!N14</f>
        <v>46023.45128</v>
      </c>
      <c r="C14" s="45" t="str">
        <f>FrontDesk_Log!O14</f>
        <v>Cleaned - ReadyFor Rent</v>
      </c>
      <c r="D14" s="45" t="str">
        <f t="shared" si="1"/>
        <v>HIGH</v>
      </c>
      <c r="E14" s="45" t="str">
        <f>FrontDesk_Log!P14</f>
        <v>Yes</v>
      </c>
      <c r="F14" s="48">
        <f>FrontDesk_Log!Q14</f>
        <v>46023.59841</v>
      </c>
      <c r="G14" s="51" t="str">
        <f>FrontDesk_Log!S14</f>
        <v/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5">
        <f>FrontDesk_Log!C15</f>
        <v>135</v>
      </c>
      <c r="B15" s="48" t="str">
        <f>FrontDesk_Log!N15</f>
        <v/>
      </c>
      <c r="C15" s="45" t="str">
        <f>FrontDesk_Log!O15</f>
        <v/>
      </c>
      <c r="D15" s="45" t="str">
        <f t="shared" si="1"/>
        <v/>
      </c>
      <c r="E15" s="45" t="str">
        <f>FrontDesk_Log!P15</f>
        <v/>
      </c>
      <c r="F15" s="48" t="str">
        <f>FrontDesk_Log!Q15</f>
        <v/>
      </c>
      <c r="G15" s="51" t="str">
        <f>FrontDesk_Log!S15</f>
        <v/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5">
        <f>FrontDesk_Log!C16</f>
        <v>141</v>
      </c>
      <c r="B16" s="48">
        <f>FrontDesk_Log!N16</f>
        <v>46023.93512</v>
      </c>
      <c r="C16" s="45" t="str">
        <f>FrontDesk_Log!O16</f>
        <v>Cleaned - ReadyFor Rent</v>
      </c>
      <c r="D16" s="45" t="str">
        <f t="shared" si="1"/>
        <v>HIGH</v>
      </c>
      <c r="E16" s="45" t="str">
        <f>FrontDesk_Log!P16</f>
        <v>Yes</v>
      </c>
      <c r="F16" s="48">
        <f>FrontDesk_Log!Q16</f>
        <v>46024.76606</v>
      </c>
      <c r="G16" s="51" t="str">
        <f>FrontDesk_Log!S16</f>
        <v/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5">
        <f>FrontDesk_Log!C17</f>
        <v>145</v>
      </c>
      <c r="B17" s="48" t="str">
        <f>FrontDesk_Log!N17</f>
        <v/>
      </c>
      <c r="C17" s="45" t="str">
        <f>FrontDesk_Log!O17</f>
        <v/>
      </c>
      <c r="D17" s="45" t="str">
        <f t="shared" si="1"/>
        <v/>
      </c>
      <c r="E17" s="45" t="str">
        <f>FrontDesk_Log!P17</f>
        <v/>
      </c>
      <c r="F17" s="48" t="str">
        <f>FrontDesk_Log!Q17</f>
        <v/>
      </c>
      <c r="G17" s="51" t="str">
        <f>FrontDesk_Log!S17</f>
        <v/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45">
        <f>FrontDesk_Log!C18</f>
        <v>109</v>
      </c>
      <c r="B18" s="48">
        <f>FrontDesk_Log!N18</f>
        <v>46024.51749</v>
      </c>
      <c r="C18" s="45" t="str">
        <f>FrontDesk_Log!O18</f>
        <v>Cleaned - ReadyFor Rent</v>
      </c>
      <c r="D18" s="45" t="str">
        <f t="shared" si="1"/>
        <v>HIGH</v>
      </c>
      <c r="E18" s="45" t="str">
        <f>FrontDesk_Log!P18</f>
        <v>Yes</v>
      </c>
      <c r="F18" s="48">
        <f>FrontDesk_Log!Q18</f>
        <v>46024.76532</v>
      </c>
      <c r="G18" s="51" t="str">
        <f>FrontDesk_Log!S18</f>
        <v/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45">
        <f>FrontDesk_Log!C19</f>
        <v>146</v>
      </c>
      <c r="B19" s="48" t="str">
        <f>FrontDesk_Log!N19</f>
        <v/>
      </c>
      <c r="C19" s="45" t="str">
        <f>FrontDesk_Log!O19</f>
        <v/>
      </c>
      <c r="D19" s="45" t="str">
        <f t="shared" si="1"/>
        <v/>
      </c>
      <c r="E19" s="45" t="str">
        <f>FrontDesk_Log!P19</f>
        <v/>
      </c>
      <c r="F19" s="48" t="str">
        <f>FrontDesk_Log!Q19</f>
        <v/>
      </c>
      <c r="G19" s="51" t="str">
        <f>FrontDesk_Log!S19</f>
        <v/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45">
        <f>FrontDesk_Log!C20</f>
        <v>144</v>
      </c>
      <c r="B20" s="48">
        <f>FrontDesk_Log!N20</f>
        <v>46024.76579</v>
      </c>
      <c r="C20" s="45" t="str">
        <f>FrontDesk_Log!O20</f>
        <v>Ready for Cleaning</v>
      </c>
      <c r="D20" s="45" t="str">
        <f t="shared" si="1"/>
        <v>HIGH</v>
      </c>
      <c r="E20" s="45" t="str">
        <f>FrontDesk_Log!P20</f>
        <v/>
      </c>
      <c r="F20" s="48" t="str">
        <f>FrontDesk_Log!Q20</f>
        <v/>
      </c>
      <c r="G20" s="51" t="str">
        <f>FrontDesk_Log!S20</f>
        <v/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45">
        <f>FrontDesk_Log!C21</f>
        <v>107</v>
      </c>
      <c r="B21" s="48">
        <f>FrontDesk_Log!N21</f>
        <v>46024.76375</v>
      </c>
      <c r="C21" s="45" t="str">
        <f>FrontDesk_Log!O21</f>
        <v>Ready for Cleaning</v>
      </c>
      <c r="D21" s="45" t="str">
        <f t="shared" si="1"/>
        <v>HIGH</v>
      </c>
      <c r="E21" s="45" t="str">
        <f>FrontDesk_Log!P21</f>
        <v/>
      </c>
      <c r="F21" s="48" t="str">
        <f>FrontDesk_Log!Q21</f>
        <v/>
      </c>
      <c r="G21" s="51" t="str">
        <f>FrontDesk_Log!S21</f>
        <v/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45">
        <f>FrontDesk_Log!C22</f>
        <v>118</v>
      </c>
      <c r="B22" s="48">
        <f>FrontDesk_Log!N22</f>
        <v>46024.86634</v>
      </c>
      <c r="C22" s="45" t="str">
        <f>FrontDesk_Log!O22</f>
        <v>Ready for Cleaning</v>
      </c>
      <c r="D22" s="45" t="str">
        <f t="shared" si="1"/>
        <v>HIGH</v>
      </c>
      <c r="E22" s="45" t="str">
        <f>FrontDesk_Log!P22</f>
        <v/>
      </c>
      <c r="F22" s="48" t="str">
        <f>FrontDesk_Log!Q22</f>
        <v/>
      </c>
      <c r="G22" s="51" t="str">
        <f>FrontDesk_Log!S22</f>
        <v/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45">
        <f>FrontDesk_Log!C23</f>
        <v>111</v>
      </c>
      <c r="B23" s="48">
        <f>FrontDesk_Log!N23</f>
        <v>46025.02285</v>
      </c>
      <c r="C23" s="45" t="str">
        <f>FrontDesk_Log!O23</f>
        <v>Ready for Cleaning</v>
      </c>
      <c r="D23" s="45" t="str">
        <f t="shared" si="1"/>
        <v>HIGH</v>
      </c>
      <c r="E23" s="45" t="str">
        <f>FrontDesk_Log!P23</f>
        <v/>
      </c>
      <c r="F23" s="48" t="str">
        <f>FrontDesk_Log!Q23</f>
        <v/>
      </c>
      <c r="G23" s="51" t="str">
        <f>FrontDesk_Log!S23</f>
        <v/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45">
        <f>FrontDesk_Log!C24</f>
        <v>110</v>
      </c>
      <c r="B24" s="48" t="str">
        <f>FrontDesk_Log!N24</f>
        <v/>
      </c>
      <c r="C24" s="45" t="str">
        <f>FrontDesk_Log!O24</f>
        <v/>
      </c>
      <c r="D24" s="45" t="str">
        <f t="shared" si="1"/>
        <v/>
      </c>
      <c r="E24" s="45" t="str">
        <f>FrontDesk_Log!P24</f>
        <v/>
      </c>
      <c r="F24" s="48" t="str">
        <f>FrontDesk_Log!Q24</f>
        <v/>
      </c>
      <c r="G24" s="51" t="str">
        <f>FrontDesk_Log!S24</f>
        <v/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45" t="str">
        <f>FrontDesk_Log!C25</f>
        <v/>
      </c>
      <c r="B25" s="48" t="str">
        <f>FrontDesk_Log!N25</f>
        <v/>
      </c>
      <c r="C25" s="45" t="str">
        <f>FrontDesk_Log!O25</f>
        <v/>
      </c>
      <c r="D25" s="45" t="str">
        <f t="shared" si="1"/>
        <v/>
      </c>
      <c r="E25" s="45" t="str">
        <f>FrontDesk_Log!P25</f>
        <v/>
      </c>
      <c r="F25" s="48" t="str">
        <f>FrontDesk_Log!Q25</f>
        <v/>
      </c>
      <c r="G25" s="51" t="str">
        <f>FrontDesk_Log!S25</f>
        <v/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45" t="str">
        <f>FrontDesk_Log!C26</f>
        <v/>
      </c>
      <c r="B26" s="48" t="str">
        <f>FrontDesk_Log!N26</f>
        <v/>
      </c>
      <c r="C26" s="45" t="str">
        <f>FrontDesk_Log!O26</f>
        <v/>
      </c>
      <c r="D26" s="45" t="str">
        <f t="shared" si="1"/>
        <v/>
      </c>
      <c r="E26" s="45" t="str">
        <f>FrontDesk_Log!P26</f>
        <v/>
      </c>
      <c r="F26" s="48" t="str">
        <f>FrontDesk_Log!Q26</f>
        <v/>
      </c>
      <c r="G26" s="51" t="str">
        <f>FrontDesk_Log!S26</f>
        <v/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45" t="str">
        <f>FrontDesk_Log!C27</f>
        <v/>
      </c>
      <c r="B27" s="48" t="str">
        <f>FrontDesk_Log!N27</f>
        <v/>
      </c>
      <c r="C27" s="45" t="str">
        <f>FrontDesk_Log!O27</f>
        <v/>
      </c>
      <c r="D27" s="45" t="str">
        <f t="shared" si="1"/>
        <v/>
      </c>
      <c r="E27" s="45" t="str">
        <f>FrontDesk_Log!P27</f>
        <v/>
      </c>
      <c r="F27" s="48" t="str">
        <f>FrontDesk_Log!Q27</f>
        <v/>
      </c>
      <c r="G27" s="51" t="str">
        <f>FrontDesk_Log!S27</f>
        <v/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45" t="str">
        <f>FrontDesk_Log!C28</f>
        <v/>
      </c>
      <c r="B28" s="48" t="str">
        <f>FrontDesk_Log!N28</f>
        <v/>
      </c>
      <c r="C28" s="45" t="str">
        <f>FrontDesk_Log!O28</f>
        <v/>
      </c>
      <c r="D28" s="45" t="str">
        <f t="shared" si="1"/>
        <v/>
      </c>
      <c r="E28" s="45" t="str">
        <f>FrontDesk_Log!P28</f>
        <v/>
      </c>
      <c r="F28" s="48" t="str">
        <f>FrontDesk_Log!Q28</f>
        <v/>
      </c>
      <c r="G28" s="51" t="str">
        <f>FrontDesk_Log!S28</f>
        <v/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45" t="str">
        <f>FrontDesk_Log!C29</f>
        <v/>
      </c>
      <c r="B29" s="48" t="str">
        <f>FrontDesk_Log!N29</f>
        <v/>
      </c>
      <c r="C29" s="45" t="str">
        <f>FrontDesk_Log!O29</f>
        <v/>
      </c>
      <c r="D29" s="45" t="str">
        <f t="shared" si="1"/>
        <v/>
      </c>
      <c r="E29" s="45" t="str">
        <f>FrontDesk_Log!P29</f>
        <v/>
      </c>
      <c r="F29" s="48" t="str">
        <f>FrontDesk_Log!Q29</f>
        <v/>
      </c>
      <c r="G29" s="51" t="str">
        <f>FrontDesk_Log!S29</f>
        <v/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45" t="str">
        <f>FrontDesk_Log!C30</f>
        <v/>
      </c>
      <c r="B30" s="48" t="str">
        <f>FrontDesk_Log!N30</f>
        <v/>
      </c>
      <c r="C30" s="45" t="str">
        <f>FrontDesk_Log!O30</f>
        <v/>
      </c>
      <c r="D30" s="45" t="str">
        <f t="shared" si="1"/>
        <v/>
      </c>
      <c r="E30" s="45" t="str">
        <f>FrontDesk_Log!P30</f>
        <v/>
      </c>
      <c r="F30" s="48" t="str">
        <f>FrontDesk_Log!Q30</f>
        <v/>
      </c>
      <c r="G30" s="51" t="str">
        <f>FrontDesk_Log!S30</f>
        <v/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45" t="str">
        <f>FrontDesk_Log!C31</f>
        <v/>
      </c>
      <c r="B31" s="48" t="str">
        <f>FrontDesk_Log!N31</f>
        <v/>
      </c>
      <c r="C31" s="45" t="str">
        <f>FrontDesk_Log!O31</f>
        <v/>
      </c>
      <c r="D31" s="45" t="str">
        <f t="shared" si="1"/>
        <v/>
      </c>
      <c r="E31" s="45" t="str">
        <f>FrontDesk_Log!P31</f>
        <v/>
      </c>
      <c r="F31" s="48" t="str">
        <f>FrontDesk_Log!Q31</f>
        <v/>
      </c>
      <c r="G31" s="51" t="str">
        <f>FrontDesk_Log!S31</f>
        <v/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45" t="str">
        <f>FrontDesk_Log!C32</f>
        <v/>
      </c>
      <c r="B32" s="48" t="str">
        <f>FrontDesk_Log!N32</f>
        <v/>
      </c>
      <c r="C32" s="45" t="str">
        <f>FrontDesk_Log!O32</f>
        <v/>
      </c>
      <c r="D32" s="45" t="str">
        <f t="shared" si="1"/>
        <v/>
      </c>
      <c r="E32" s="45" t="str">
        <f>FrontDesk_Log!P32</f>
        <v/>
      </c>
      <c r="F32" s="48" t="str">
        <f>FrontDesk_Log!Q32</f>
        <v/>
      </c>
      <c r="G32" s="51" t="str">
        <f>FrontDesk_Log!S32</f>
        <v/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45" t="str">
        <f>FrontDesk_Log!C33</f>
        <v/>
      </c>
      <c r="B33" s="48" t="str">
        <f>FrontDesk_Log!N33</f>
        <v/>
      </c>
      <c r="C33" s="45" t="str">
        <f>FrontDesk_Log!O33</f>
        <v/>
      </c>
      <c r="D33" s="45" t="str">
        <f t="shared" si="1"/>
        <v/>
      </c>
      <c r="E33" s="45" t="str">
        <f>FrontDesk_Log!P33</f>
        <v/>
      </c>
      <c r="F33" s="48" t="str">
        <f>FrontDesk_Log!Q33</f>
        <v/>
      </c>
      <c r="G33" s="51" t="str">
        <f>FrontDesk_Log!S33</f>
        <v/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45" t="str">
        <f>FrontDesk_Log!C34</f>
        <v/>
      </c>
      <c r="B34" s="48" t="str">
        <f>FrontDesk_Log!N34</f>
        <v/>
      </c>
      <c r="C34" s="45" t="str">
        <f>FrontDesk_Log!O34</f>
        <v/>
      </c>
      <c r="D34" s="45" t="str">
        <f t="shared" si="1"/>
        <v/>
      </c>
      <c r="E34" s="45" t="str">
        <f>FrontDesk_Log!P34</f>
        <v/>
      </c>
      <c r="F34" s="48" t="str">
        <f>FrontDesk_Log!Q34</f>
        <v/>
      </c>
      <c r="G34" s="51" t="str">
        <f>FrontDesk_Log!S34</f>
        <v/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45" t="str">
        <f>FrontDesk_Log!C35</f>
        <v/>
      </c>
      <c r="B35" s="48" t="str">
        <f>FrontDesk_Log!N35</f>
        <v/>
      </c>
      <c r="C35" s="45" t="str">
        <f>FrontDesk_Log!O35</f>
        <v/>
      </c>
      <c r="D35" s="45" t="str">
        <f t="shared" si="1"/>
        <v/>
      </c>
      <c r="E35" s="45" t="str">
        <f>FrontDesk_Log!P35</f>
        <v/>
      </c>
      <c r="F35" s="48" t="str">
        <f>FrontDesk_Log!Q35</f>
        <v/>
      </c>
      <c r="G35" s="51" t="str">
        <f>FrontDesk_Log!S35</f>
        <v/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45" t="str">
        <f>FrontDesk_Log!C36</f>
        <v/>
      </c>
      <c r="B36" s="48" t="str">
        <f>FrontDesk_Log!N36</f>
        <v/>
      </c>
      <c r="C36" s="45" t="str">
        <f>FrontDesk_Log!O36</f>
        <v/>
      </c>
      <c r="D36" s="45" t="str">
        <f t="shared" si="1"/>
        <v/>
      </c>
      <c r="E36" s="45" t="str">
        <f>FrontDesk_Log!P36</f>
        <v/>
      </c>
      <c r="F36" s="48" t="str">
        <f>FrontDesk_Log!Q36</f>
        <v/>
      </c>
      <c r="G36" s="51" t="str">
        <f>FrontDesk_Log!S36</f>
        <v/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45" t="str">
        <f>FrontDesk_Log!C37</f>
        <v/>
      </c>
      <c r="B37" s="48" t="str">
        <f>FrontDesk_Log!N37</f>
        <v/>
      </c>
      <c r="C37" s="45" t="str">
        <f>FrontDesk_Log!O37</f>
        <v/>
      </c>
      <c r="D37" s="45" t="str">
        <f t="shared" si="1"/>
        <v/>
      </c>
      <c r="E37" s="45" t="str">
        <f>FrontDesk_Log!P37</f>
        <v/>
      </c>
      <c r="F37" s="48" t="str">
        <f>FrontDesk_Log!Q37</f>
        <v/>
      </c>
      <c r="G37" s="51" t="str">
        <f>FrontDesk_Log!S37</f>
        <v/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45" t="str">
        <f>FrontDesk_Log!C38</f>
        <v/>
      </c>
      <c r="B38" s="48" t="str">
        <f>FrontDesk_Log!N38</f>
        <v/>
      </c>
      <c r="C38" s="45" t="str">
        <f>FrontDesk_Log!O38</f>
        <v/>
      </c>
      <c r="D38" s="45" t="str">
        <f t="shared" si="1"/>
        <v/>
      </c>
      <c r="E38" s="45" t="str">
        <f>FrontDesk_Log!P38</f>
        <v/>
      </c>
      <c r="F38" s="48" t="str">
        <f>FrontDesk_Log!Q38</f>
        <v/>
      </c>
      <c r="G38" s="51" t="str">
        <f>FrontDesk_Log!S38</f>
        <v/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45" t="str">
        <f>FrontDesk_Log!C39</f>
        <v/>
      </c>
      <c r="B39" s="48" t="str">
        <f>FrontDesk_Log!N39</f>
        <v/>
      </c>
      <c r="C39" s="45" t="str">
        <f>FrontDesk_Log!O39</f>
        <v/>
      </c>
      <c r="D39" s="45" t="str">
        <f t="shared" si="1"/>
        <v/>
      </c>
      <c r="E39" s="45" t="str">
        <f>FrontDesk_Log!P39</f>
        <v/>
      </c>
      <c r="F39" s="48" t="str">
        <f>FrontDesk_Log!Q39</f>
        <v/>
      </c>
      <c r="G39" s="51" t="str">
        <f>FrontDesk_Log!S39</f>
        <v/>
      </c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45" t="str">
        <f>FrontDesk_Log!C40</f>
        <v/>
      </c>
      <c r="B40" s="48" t="str">
        <f>FrontDesk_Log!N40</f>
        <v/>
      </c>
      <c r="C40" s="45" t="str">
        <f>FrontDesk_Log!O40</f>
        <v/>
      </c>
      <c r="D40" s="45" t="str">
        <f t="shared" si="1"/>
        <v/>
      </c>
      <c r="E40" s="45" t="str">
        <f>FrontDesk_Log!P40</f>
        <v/>
      </c>
      <c r="F40" s="48" t="str">
        <f>FrontDesk_Log!Q40</f>
        <v/>
      </c>
      <c r="G40" s="51" t="str">
        <f>FrontDesk_Log!S40</f>
        <v/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45" t="str">
        <f>FrontDesk_Log!C41</f>
        <v/>
      </c>
      <c r="B41" s="48" t="str">
        <f>FrontDesk_Log!N41</f>
        <v/>
      </c>
      <c r="C41" s="45" t="str">
        <f>FrontDesk_Log!O41</f>
        <v/>
      </c>
      <c r="D41" s="45" t="str">
        <f t="shared" si="1"/>
        <v/>
      </c>
      <c r="E41" s="45" t="str">
        <f>FrontDesk_Log!P41</f>
        <v/>
      </c>
      <c r="F41" s="48" t="str">
        <f>FrontDesk_Log!Q41</f>
        <v/>
      </c>
      <c r="G41" s="51" t="str">
        <f>FrontDesk_Log!S41</f>
        <v/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45" t="str">
        <f>FrontDesk_Log!C42</f>
        <v/>
      </c>
      <c r="B42" s="48" t="str">
        <f>FrontDesk_Log!N42</f>
        <v/>
      </c>
      <c r="C42" s="45" t="str">
        <f>FrontDesk_Log!O42</f>
        <v/>
      </c>
      <c r="D42" s="45" t="str">
        <f t="shared" si="1"/>
        <v/>
      </c>
      <c r="E42" s="45" t="str">
        <f>FrontDesk_Log!P42</f>
        <v/>
      </c>
      <c r="F42" s="48" t="str">
        <f>FrontDesk_Log!Q42</f>
        <v/>
      </c>
      <c r="G42" s="51" t="str">
        <f>FrontDesk_Log!S42</f>
        <v/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45" t="str">
        <f>FrontDesk_Log!C43</f>
        <v/>
      </c>
      <c r="B43" s="48" t="str">
        <f>FrontDesk_Log!N43</f>
        <v/>
      </c>
      <c r="C43" s="45" t="str">
        <f>FrontDesk_Log!O43</f>
        <v/>
      </c>
      <c r="D43" s="45" t="str">
        <f t="shared" si="1"/>
        <v/>
      </c>
      <c r="E43" s="45" t="str">
        <f>FrontDesk_Log!P43</f>
        <v/>
      </c>
      <c r="F43" s="48" t="str">
        <f>FrontDesk_Log!Q43</f>
        <v/>
      </c>
      <c r="G43" s="51" t="str">
        <f>FrontDesk_Log!S43</f>
        <v/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45" t="str">
        <f>FrontDesk_Log!C44</f>
        <v/>
      </c>
      <c r="B44" s="48" t="str">
        <f>FrontDesk_Log!N44</f>
        <v/>
      </c>
      <c r="C44" s="45" t="str">
        <f>FrontDesk_Log!O44</f>
        <v/>
      </c>
      <c r="D44" s="45" t="str">
        <f t="shared" si="1"/>
        <v/>
      </c>
      <c r="E44" s="45" t="str">
        <f>FrontDesk_Log!P44</f>
        <v/>
      </c>
      <c r="F44" s="48" t="str">
        <f>FrontDesk_Log!Q44</f>
        <v/>
      </c>
      <c r="G44" s="51" t="str">
        <f>FrontDesk_Log!S44</f>
        <v/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45" t="str">
        <f>FrontDesk_Log!C45</f>
        <v/>
      </c>
      <c r="B45" s="48" t="str">
        <f>FrontDesk_Log!N45</f>
        <v/>
      </c>
      <c r="C45" s="45" t="str">
        <f>FrontDesk_Log!O45</f>
        <v/>
      </c>
      <c r="D45" s="45" t="str">
        <f t="shared" si="1"/>
        <v/>
      </c>
      <c r="E45" s="45" t="str">
        <f>FrontDesk_Log!P45</f>
        <v/>
      </c>
      <c r="F45" s="48" t="str">
        <f>FrontDesk_Log!Q45</f>
        <v/>
      </c>
      <c r="G45" s="51" t="str">
        <f>FrontDesk_Log!S45</f>
        <v/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45" t="str">
        <f>FrontDesk_Log!C46</f>
        <v/>
      </c>
      <c r="B46" s="48" t="str">
        <f>FrontDesk_Log!N46</f>
        <v/>
      </c>
      <c r="C46" s="45" t="str">
        <f>FrontDesk_Log!O46</f>
        <v/>
      </c>
      <c r="D46" s="45" t="str">
        <f t="shared" si="1"/>
        <v/>
      </c>
      <c r="E46" s="45" t="str">
        <f>FrontDesk_Log!P46</f>
        <v/>
      </c>
      <c r="F46" s="48" t="str">
        <f>FrontDesk_Log!Q46</f>
        <v/>
      </c>
      <c r="G46" s="51" t="str">
        <f>FrontDesk_Log!S46</f>
        <v/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45" t="str">
        <f>FrontDesk_Log!C47</f>
        <v/>
      </c>
      <c r="B47" s="48" t="str">
        <f>FrontDesk_Log!N47</f>
        <v/>
      </c>
      <c r="C47" s="45" t="str">
        <f>FrontDesk_Log!O47</f>
        <v/>
      </c>
      <c r="D47" s="45" t="str">
        <f t="shared" si="1"/>
        <v/>
      </c>
      <c r="E47" s="45" t="str">
        <f>FrontDesk_Log!P47</f>
        <v/>
      </c>
      <c r="F47" s="48" t="str">
        <f>FrontDesk_Log!Q47</f>
        <v/>
      </c>
      <c r="G47" s="51" t="str">
        <f>FrontDesk_Log!S47</f>
        <v/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45" t="str">
        <f>FrontDesk_Log!C48</f>
        <v/>
      </c>
      <c r="B48" s="48" t="str">
        <f>FrontDesk_Log!N48</f>
        <v/>
      </c>
      <c r="C48" s="45" t="str">
        <f>FrontDesk_Log!O48</f>
        <v/>
      </c>
      <c r="D48" s="45" t="str">
        <f t="shared" si="1"/>
        <v/>
      </c>
      <c r="E48" s="45" t="str">
        <f>FrontDesk_Log!P48</f>
        <v/>
      </c>
      <c r="F48" s="48" t="str">
        <f>FrontDesk_Log!Q48</f>
        <v/>
      </c>
      <c r="G48" s="51" t="str">
        <f>FrontDesk_Log!S48</f>
        <v/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45" t="str">
        <f>FrontDesk_Log!C49</f>
        <v/>
      </c>
      <c r="B49" s="48" t="str">
        <f>FrontDesk_Log!N49</f>
        <v/>
      </c>
      <c r="C49" s="45" t="str">
        <f>FrontDesk_Log!O49</f>
        <v/>
      </c>
      <c r="D49" s="45" t="str">
        <f t="shared" si="1"/>
        <v/>
      </c>
      <c r="E49" s="45" t="str">
        <f>FrontDesk_Log!P49</f>
        <v/>
      </c>
      <c r="F49" s="48" t="str">
        <f>FrontDesk_Log!Q49</f>
        <v/>
      </c>
      <c r="G49" s="51" t="str">
        <f>FrontDesk_Log!S49</f>
        <v/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45" t="str">
        <f>FrontDesk_Log!C50</f>
        <v/>
      </c>
      <c r="B50" s="48" t="str">
        <f>FrontDesk_Log!N50</f>
        <v/>
      </c>
      <c r="C50" s="45" t="str">
        <f>FrontDesk_Log!O50</f>
        <v/>
      </c>
      <c r="D50" s="45" t="str">
        <f t="shared" si="1"/>
        <v/>
      </c>
      <c r="E50" s="45" t="str">
        <f>FrontDesk_Log!P50</f>
        <v/>
      </c>
      <c r="F50" s="48" t="str">
        <f>FrontDesk_Log!Q50</f>
        <v/>
      </c>
      <c r="G50" s="51" t="str">
        <f>FrontDesk_Log!S50</f>
        <v/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45" t="str">
        <f>FrontDesk_Log!C51</f>
        <v/>
      </c>
      <c r="B51" s="48" t="str">
        <f>FrontDesk_Log!N51</f>
        <v/>
      </c>
      <c r="C51" s="45" t="str">
        <f>FrontDesk_Log!O51</f>
        <v/>
      </c>
      <c r="D51" s="45" t="str">
        <f t="shared" si="1"/>
        <v/>
      </c>
      <c r="E51" s="45" t="str">
        <f>FrontDesk_Log!P51</f>
        <v/>
      </c>
      <c r="F51" s="48" t="str">
        <f>FrontDesk_Log!Q51</f>
        <v/>
      </c>
      <c r="G51" s="51" t="str">
        <f>FrontDesk_Log!S51</f>
        <v/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45" t="str">
        <f>FrontDesk_Log!C52</f>
        <v/>
      </c>
      <c r="B52" s="48" t="str">
        <f>FrontDesk_Log!N52</f>
        <v/>
      </c>
      <c r="C52" s="45" t="str">
        <f>FrontDesk_Log!O52</f>
        <v/>
      </c>
      <c r="D52" s="45" t="str">
        <f t="shared" si="1"/>
        <v/>
      </c>
      <c r="E52" s="45" t="str">
        <f>FrontDesk_Log!P52</f>
        <v/>
      </c>
      <c r="F52" s="48" t="str">
        <f>FrontDesk_Log!Q52</f>
        <v/>
      </c>
      <c r="G52" s="51" t="str">
        <f>FrontDesk_Log!S52</f>
        <v/>
      </c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45" t="str">
        <f>FrontDesk_Log!C53</f>
        <v/>
      </c>
      <c r="B53" s="48" t="str">
        <f>FrontDesk_Log!N53</f>
        <v/>
      </c>
      <c r="C53" s="45" t="str">
        <f>FrontDesk_Log!O53</f>
        <v/>
      </c>
      <c r="D53" s="45" t="str">
        <f t="shared" si="1"/>
        <v/>
      </c>
      <c r="E53" s="45" t="str">
        <f>FrontDesk_Log!P53</f>
        <v/>
      </c>
      <c r="F53" s="48" t="str">
        <f>FrontDesk_Log!Q53</f>
        <v/>
      </c>
      <c r="G53" s="51" t="str">
        <f>FrontDesk_Log!S53</f>
        <v/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45" t="str">
        <f>FrontDesk_Log!C54</f>
        <v/>
      </c>
      <c r="B54" s="48" t="str">
        <f>FrontDesk_Log!N54</f>
        <v/>
      </c>
      <c r="C54" s="45" t="str">
        <f>FrontDesk_Log!O54</f>
        <v/>
      </c>
      <c r="D54" s="45" t="str">
        <f t="shared" si="1"/>
        <v/>
      </c>
      <c r="E54" s="45" t="str">
        <f>FrontDesk_Log!P54</f>
        <v/>
      </c>
      <c r="F54" s="48" t="str">
        <f>FrontDesk_Log!Q54</f>
        <v/>
      </c>
      <c r="G54" s="51" t="str">
        <f>FrontDesk_Log!S54</f>
        <v/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45" t="str">
        <f>FrontDesk_Log!C55</f>
        <v/>
      </c>
      <c r="B55" s="48" t="str">
        <f>FrontDesk_Log!N55</f>
        <v/>
      </c>
      <c r="C55" s="45" t="str">
        <f>FrontDesk_Log!O55</f>
        <v/>
      </c>
      <c r="D55" s="45" t="str">
        <f t="shared" si="1"/>
        <v/>
      </c>
      <c r="E55" s="45" t="str">
        <f>FrontDesk_Log!P55</f>
        <v/>
      </c>
      <c r="F55" s="48" t="str">
        <f>FrontDesk_Log!Q55</f>
        <v/>
      </c>
      <c r="G55" s="51" t="str">
        <f>FrontDesk_Log!S55</f>
        <v/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45" t="str">
        <f>FrontDesk_Log!C56</f>
        <v/>
      </c>
      <c r="B56" s="48" t="str">
        <f>FrontDesk_Log!N56</f>
        <v/>
      </c>
      <c r="C56" s="45" t="str">
        <f>FrontDesk_Log!O56</f>
        <v/>
      </c>
      <c r="D56" s="45" t="str">
        <f t="shared" si="1"/>
        <v/>
      </c>
      <c r="E56" s="45" t="str">
        <f>FrontDesk_Log!P56</f>
        <v/>
      </c>
      <c r="F56" s="48" t="str">
        <f>FrontDesk_Log!Q56</f>
        <v/>
      </c>
      <c r="G56" s="51" t="str">
        <f>FrontDesk_Log!S56</f>
        <v/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45" t="str">
        <f>FrontDesk_Log!C57</f>
        <v/>
      </c>
      <c r="B57" s="48" t="str">
        <f>FrontDesk_Log!N57</f>
        <v/>
      </c>
      <c r="C57" s="45" t="str">
        <f>FrontDesk_Log!O57</f>
        <v/>
      </c>
      <c r="D57" s="45" t="str">
        <f t="shared" si="1"/>
        <v/>
      </c>
      <c r="E57" s="45" t="str">
        <f>FrontDesk_Log!P57</f>
        <v/>
      </c>
      <c r="F57" s="48" t="str">
        <f>FrontDesk_Log!Q57</f>
        <v/>
      </c>
      <c r="G57" s="51" t="str">
        <f>FrontDesk_Log!S57</f>
        <v/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45" t="str">
        <f>FrontDesk_Log!C58</f>
        <v/>
      </c>
      <c r="B58" s="48" t="str">
        <f>FrontDesk_Log!N58</f>
        <v/>
      </c>
      <c r="C58" s="45" t="str">
        <f>FrontDesk_Log!O58</f>
        <v/>
      </c>
      <c r="D58" s="45" t="str">
        <f t="shared" si="1"/>
        <v/>
      </c>
      <c r="E58" s="45" t="str">
        <f>FrontDesk_Log!P58</f>
        <v/>
      </c>
      <c r="F58" s="48" t="str">
        <f>FrontDesk_Log!Q58</f>
        <v/>
      </c>
      <c r="G58" s="51" t="str">
        <f>FrontDesk_Log!S58</f>
        <v/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45" t="str">
        <f>FrontDesk_Log!C59</f>
        <v/>
      </c>
      <c r="B59" s="48" t="str">
        <f>FrontDesk_Log!N59</f>
        <v/>
      </c>
      <c r="C59" s="45" t="str">
        <f>FrontDesk_Log!O59</f>
        <v/>
      </c>
      <c r="D59" s="45" t="str">
        <f t="shared" si="1"/>
        <v/>
      </c>
      <c r="E59" s="45" t="str">
        <f>FrontDesk_Log!P59</f>
        <v/>
      </c>
      <c r="F59" s="48" t="str">
        <f>FrontDesk_Log!Q59</f>
        <v/>
      </c>
      <c r="G59" s="51" t="str">
        <f>FrontDesk_Log!S59</f>
        <v/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45" t="str">
        <f>FrontDesk_Log!C60</f>
        <v/>
      </c>
      <c r="B60" s="48" t="str">
        <f>FrontDesk_Log!N60</f>
        <v/>
      </c>
      <c r="C60" s="45" t="str">
        <f>FrontDesk_Log!O60</f>
        <v/>
      </c>
      <c r="D60" s="45" t="str">
        <f t="shared" si="1"/>
        <v/>
      </c>
      <c r="E60" s="45" t="str">
        <f>FrontDesk_Log!P60</f>
        <v/>
      </c>
      <c r="F60" s="48" t="str">
        <f>FrontDesk_Log!Q60</f>
        <v/>
      </c>
      <c r="G60" s="51" t="str">
        <f>FrontDesk_Log!S60</f>
        <v/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45" t="str">
        <f>FrontDesk_Log!C61</f>
        <v/>
      </c>
      <c r="B61" s="48" t="str">
        <f>FrontDesk_Log!N61</f>
        <v/>
      </c>
      <c r="C61" s="45" t="str">
        <f>FrontDesk_Log!O61</f>
        <v/>
      </c>
      <c r="D61" s="45" t="str">
        <f t="shared" si="1"/>
        <v/>
      </c>
      <c r="E61" s="45" t="str">
        <f>FrontDesk_Log!P61</f>
        <v/>
      </c>
      <c r="F61" s="48" t="str">
        <f>FrontDesk_Log!Q61</f>
        <v/>
      </c>
      <c r="G61" s="51" t="str">
        <f>FrontDesk_Log!S61</f>
        <v/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45" t="str">
        <f>FrontDesk_Log!C62</f>
        <v/>
      </c>
      <c r="B62" s="48" t="str">
        <f>FrontDesk_Log!N62</f>
        <v/>
      </c>
      <c r="C62" s="45" t="str">
        <f>FrontDesk_Log!O62</f>
        <v/>
      </c>
      <c r="D62" s="45" t="str">
        <f t="shared" si="1"/>
        <v/>
      </c>
      <c r="E62" s="45" t="str">
        <f>FrontDesk_Log!P62</f>
        <v/>
      </c>
      <c r="F62" s="48" t="str">
        <f>FrontDesk_Log!Q62</f>
        <v/>
      </c>
      <c r="G62" s="51" t="str">
        <f>FrontDesk_Log!S62</f>
        <v/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45" t="str">
        <f>FrontDesk_Log!C63</f>
        <v/>
      </c>
      <c r="B63" s="48" t="str">
        <f>FrontDesk_Log!N63</f>
        <v/>
      </c>
      <c r="C63" s="45" t="str">
        <f>FrontDesk_Log!O63</f>
        <v/>
      </c>
      <c r="D63" s="45" t="str">
        <f t="shared" si="1"/>
        <v/>
      </c>
      <c r="E63" s="45" t="str">
        <f>FrontDesk_Log!P63</f>
        <v/>
      </c>
      <c r="F63" s="48" t="str">
        <f>FrontDesk_Log!Q63</f>
        <v/>
      </c>
      <c r="G63" s="51" t="str">
        <f>FrontDesk_Log!S63</f>
        <v/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45" t="str">
        <f>FrontDesk_Log!C64</f>
        <v/>
      </c>
      <c r="B64" s="48" t="str">
        <f>FrontDesk_Log!N64</f>
        <v/>
      </c>
      <c r="C64" s="45" t="str">
        <f>FrontDesk_Log!O64</f>
        <v/>
      </c>
      <c r="D64" s="45" t="str">
        <f t="shared" si="1"/>
        <v/>
      </c>
      <c r="E64" s="45" t="str">
        <f>FrontDesk_Log!P64</f>
        <v/>
      </c>
      <c r="F64" s="48" t="str">
        <f>FrontDesk_Log!Q64</f>
        <v/>
      </c>
      <c r="G64" s="51" t="str">
        <f>FrontDesk_Log!S64</f>
        <v/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45" t="str">
        <f>FrontDesk_Log!C65</f>
        <v/>
      </c>
      <c r="B65" s="48" t="str">
        <f>FrontDesk_Log!N65</f>
        <v/>
      </c>
      <c r="C65" s="45" t="str">
        <f>FrontDesk_Log!O65</f>
        <v/>
      </c>
      <c r="D65" s="45" t="str">
        <f t="shared" si="1"/>
        <v/>
      </c>
      <c r="E65" s="45" t="str">
        <f>FrontDesk_Log!P65</f>
        <v/>
      </c>
      <c r="F65" s="48" t="str">
        <f>FrontDesk_Log!Q65</f>
        <v/>
      </c>
      <c r="G65" s="51" t="str">
        <f>FrontDesk_Log!S65</f>
        <v/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45" t="str">
        <f>FrontDesk_Log!C66</f>
        <v/>
      </c>
      <c r="B66" s="48" t="str">
        <f>FrontDesk_Log!N66</f>
        <v/>
      </c>
      <c r="C66" s="45" t="str">
        <f>FrontDesk_Log!O66</f>
        <v/>
      </c>
      <c r="D66" s="45" t="str">
        <f t="shared" si="1"/>
        <v/>
      </c>
      <c r="E66" s="45" t="str">
        <f>FrontDesk_Log!P66</f>
        <v/>
      </c>
      <c r="F66" s="48" t="str">
        <f>FrontDesk_Log!Q66</f>
        <v/>
      </c>
      <c r="G66" s="51" t="str">
        <f>FrontDesk_Log!S66</f>
        <v/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45" t="str">
        <f>FrontDesk_Log!C67</f>
        <v/>
      </c>
      <c r="B67" s="48" t="str">
        <f>FrontDesk_Log!N67</f>
        <v/>
      </c>
      <c r="C67" s="45" t="str">
        <f>FrontDesk_Log!O67</f>
        <v/>
      </c>
      <c r="D67" s="45" t="str">
        <f t="shared" si="1"/>
        <v/>
      </c>
      <c r="E67" s="45" t="str">
        <f>FrontDesk_Log!P67</f>
        <v/>
      </c>
      <c r="F67" s="48" t="str">
        <f>FrontDesk_Log!Q67</f>
        <v/>
      </c>
      <c r="G67" s="51" t="str">
        <f>FrontDesk_Log!S67</f>
        <v/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45" t="str">
        <f>FrontDesk_Log!C68</f>
        <v/>
      </c>
      <c r="B68" s="48" t="str">
        <f>FrontDesk_Log!N68</f>
        <v/>
      </c>
      <c r="C68" s="45" t="str">
        <f>FrontDesk_Log!O68</f>
        <v/>
      </c>
      <c r="D68" s="45" t="str">
        <f t="shared" si="1"/>
        <v/>
      </c>
      <c r="E68" s="45" t="str">
        <f>FrontDesk_Log!P68</f>
        <v/>
      </c>
      <c r="F68" s="48" t="str">
        <f>FrontDesk_Log!Q68</f>
        <v/>
      </c>
      <c r="G68" s="51" t="str">
        <f>FrontDesk_Log!S68</f>
        <v/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45" t="str">
        <f>FrontDesk_Log!C69</f>
        <v/>
      </c>
      <c r="B69" s="48" t="str">
        <f>FrontDesk_Log!N69</f>
        <v/>
      </c>
      <c r="C69" s="45" t="str">
        <f>FrontDesk_Log!O69</f>
        <v/>
      </c>
      <c r="D69" s="45" t="str">
        <f t="shared" si="1"/>
        <v/>
      </c>
      <c r="E69" s="45" t="str">
        <f>FrontDesk_Log!P69</f>
        <v/>
      </c>
      <c r="F69" s="48" t="str">
        <f>FrontDesk_Log!Q69</f>
        <v/>
      </c>
      <c r="G69" s="51" t="str">
        <f>FrontDesk_Log!S69</f>
        <v/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45" t="str">
        <f>FrontDesk_Log!C70</f>
        <v/>
      </c>
      <c r="B70" s="48" t="str">
        <f>FrontDesk_Log!N70</f>
        <v/>
      </c>
      <c r="C70" s="45" t="str">
        <f>FrontDesk_Log!O70</f>
        <v/>
      </c>
      <c r="D70" s="45" t="str">
        <f t="shared" si="1"/>
        <v/>
      </c>
      <c r="E70" s="45" t="str">
        <f>FrontDesk_Log!P70</f>
        <v/>
      </c>
      <c r="F70" s="48" t="str">
        <f>FrontDesk_Log!Q70</f>
        <v/>
      </c>
      <c r="G70" s="51" t="str">
        <f>FrontDesk_Log!S70</f>
        <v/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45" t="str">
        <f>FrontDesk_Log!C71</f>
        <v/>
      </c>
      <c r="B71" s="48" t="str">
        <f>FrontDesk_Log!N71</f>
        <v/>
      </c>
      <c r="C71" s="45" t="str">
        <f>FrontDesk_Log!O71</f>
        <v/>
      </c>
      <c r="D71" s="45" t="str">
        <f t="shared" si="1"/>
        <v/>
      </c>
      <c r="E71" s="45" t="str">
        <f>FrontDesk_Log!P71</f>
        <v/>
      </c>
      <c r="F71" s="48" t="str">
        <f>FrontDesk_Log!Q71</f>
        <v/>
      </c>
      <c r="G71" s="51" t="str">
        <f>FrontDesk_Log!S71</f>
        <v/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45" t="str">
        <f>FrontDesk_Log!C72</f>
        <v/>
      </c>
      <c r="B72" s="48" t="str">
        <f>FrontDesk_Log!N72</f>
        <v/>
      </c>
      <c r="C72" s="45" t="str">
        <f>FrontDesk_Log!O72</f>
        <v/>
      </c>
      <c r="D72" s="45" t="str">
        <f t="shared" si="1"/>
        <v/>
      </c>
      <c r="E72" s="45" t="str">
        <f>FrontDesk_Log!P72</f>
        <v/>
      </c>
      <c r="F72" s="48" t="str">
        <f>FrontDesk_Log!Q72</f>
        <v/>
      </c>
      <c r="G72" s="51" t="str">
        <f>FrontDesk_Log!S72</f>
        <v/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45" t="str">
        <f>FrontDesk_Log!C73</f>
        <v/>
      </c>
      <c r="B73" s="48" t="str">
        <f>FrontDesk_Log!N73</f>
        <v/>
      </c>
      <c r="C73" s="45" t="str">
        <f>FrontDesk_Log!O73</f>
        <v/>
      </c>
      <c r="D73" s="45" t="str">
        <f t="shared" si="1"/>
        <v/>
      </c>
      <c r="E73" s="45" t="str">
        <f>FrontDesk_Log!P73</f>
        <v/>
      </c>
      <c r="F73" s="48" t="str">
        <f>FrontDesk_Log!Q73</f>
        <v/>
      </c>
      <c r="G73" s="51" t="str">
        <f>FrontDesk_Log!S73</f>
        <v/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45" t="str">
        <f>FrontDesk_Log!C74</f>
        <v/>
      </c>
      <c r="B74" s="48" t="str">
        <f>FrontDesk_Log!N74</f>
        <v/>
      </c>
      <c r="C74" s="45" t="str">
        <f>FrontDesk_Log!O74</f>
        <v/>
      </c>
      <c r="D74" s="45" t="str">
        <f t="shared" si="1"/>
        <v/>
      </c>
      <c r="E74" s="45" t="str">
        <f>FrontDesk_Log!P74</f>
        <v/>
      </c>
      <c r="F74" s="48" t="str">
        <f>FrontDesk_Log!Q74</f>
        <v/>
      </c>
      <c r="G74" s="51" t="str">
        <f>FrontDesk_Log!S74</f>
        <v/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45" t="str">
        <f>FrontDesk_Log!C75</f>
        <v/>
      </c>
      <c r="B75" s="48" t="str">
        <f>FrontDesk_Log!N75</f>
        <v/>
      </c>
      <c r="C75" s="45" t="str">
        <f>FrontDesk_Log!O75</f>
        <v/>
      </c>
      <c r="D75" s="45" t="str">
        <f t="shared" si="1"/>
        <v/>
      </c>
      <c r="E75" s="45" t="str">
        <f>FrontDesk_Log!P75</f>
        <v/>
      </c>
      <c r="F75" s="48" t="str">
        <f>FrontDesk_Log!Q75</f>
        <v/>
      </c>
      <c r="G75" s="51" t="str">
        <f>FrontDesk_Log!S75</f>
        <v/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45" t="str">
        <f>FrontDesk_Log!C76</f>
        <v/>
      </c>
      <c r="B76" s="48" t="str">
        <f>FrontDesk_Log!N76</f>
        <v/>
      </c>
      <c r="C76" s="45" t="str">
        <f>FrontDesk_Log!O76</f>
        <v/>
      </c>
      <c r="D76" s="45" t="str">
        <f t="shared" si="1"/>
        <v/>
      </c>
      <c r="E76" s="45" t="str">
        <f>FrontDesk_Log!P76</f>
        <v/>
      </c>
      <c r="F76" s="48" t="str">
        <f>FrontDesk_Log!Q76</f>
        <v/>
      </c>
      <c r="G76" s="51" t="str">
        <f>FrontDesk_Log!S76</f>
        <v/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45" t="str">
        <f>FrontDesk_Log!C77</f>
        <v/>
      </c>
      <c r="B77" s="48" t="str">
        <f>FrontDesk_Log!N77</f>
        <v/>
      </c>
      <c r="C77" s="45" t="str">
        <f>FrontDesk_Log!O77</f>
        <v/>
      </c>
      <c r="D77" s="45" t="str">
        <f t="shared" si="1"/>
        <v/>
      </c>
      <c r="E77" s="45" t="str">
        <f>FrontDesk_Log!P77</f>
        <v/>
      </c>
      <c r="F77" s="48" t="str">
        <f>FrontDesk_Log!Q77</f>
        <v/>
      </c>
      <c r="G77" s="51" t="str">
        <f>FrontDesk_Log!S77</f>
        <v/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45" t="str">
        <f>FrontDesk_Log!C78</f>
        <v/>
      </c>
      <c r="B78" s="48" t="str">
        <f>FrontDesk_Log!N78</f>
        <v/>
      </c>
      <c r="C78" s="45" t="str">
        <f>FrontDesk_Log!O78</f>
        <v/>
      </c>
      <c r="D78" s="45" t="str">
        <f t="shared" si="1"/>
        <v/>
      </c>
      <c r="E78" s="45" t="str">
        <f>FrontDesk_Log!P78</f>
        <v/>
      </c>
      <c r="F78" s="48" t="str">
        <f>FrontDesk_Log!Q78</f>
        <v/>
      </c>
      <c r="G78" s="51" t="str">
        <f>FrontDesk_Log!S78</f>
        <v/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45" t="str">
        <f>FrontDesk_Log!C79</f>
        <v/>
      </c>
      <c r="B79" s="48" t="str">
        <f>FrontDesk_Log!N79</f>
        <v/>
      </c>
      <c r="C79" s="45" t="str">
        <f>FrontDesk_Log!O79</f>
        <v/>
      </c>
      <c r="D79" s="45" t="str">
        <f t="shared" si="1"/>
        <v/>
      </c>
      <c r="E79" s="45" t="str">
        <f>FrontDesk_Log!P79</f>
        <v/>
      </c>
      <c r="F79" s="48" t="str">
        <f>FrontDesk_Log!Q79</f>
        <v/>
      </c>
      <c r="G79" s="51" t="str">
        <f>FrontDesk_Log!S79</f>
        <v/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45" t="str">
        <f>FrontDesk_Log!C80</f>
        <v/>
      </c>
      <c r="B80" s="48" t="str">
        <f>FrontDesk_Log!N80</f>
        <v/>
      </c>
      <c r="C80" s="45" t="str">
        <f>FrontDesk_Log!O80</f>
        <v/>
      </c>
      <c r="D80" s="45" t="str">
        <f t="shared" si="1"/>
        <v/>
      </c>
      <c r="E80" s="45" t="str">
        <f>FrontDesk_Log!P80</f>
        <v/>
      </c>
      <c r="F80" s="48" t="str">
        <f>FrontDesk_Log!Q80</f>
        <v/>
      </c>
      <c r="G80" s="51" t="str">
        <f>FrontDesk_Log!S80</f>
        <v/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45" t="str">
        <f>FrontDesk_Log!C81</f>
        <v/>
      </c>
      <c r="B81" s="48" t="str">
        <f>FrontDesk_Log!N81</f>
        <v/>
      </c>
      <c r="C81" s="45" t="str">
        <f>FrontDesk_Log!O81</f>
        <v/>
      </c>
      <c r="D81" s="45" t="str">
        <f t="shared" si="1"/>
        <v/>
      </c>
      <c r="E81" s="45" t="str">
        <f>FrontDesk_Log!P81</f>
        <v/>
      </c>
      <c r="F81" s="48" t="str">
        <f>FrontDesk_Log!Q81</f>
        <v/>
      </c>
      <c r="G81" s="51" t="str">
        <f>FrontDesk_Log!S81</f>
        <v/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45" t="str">
        <f>FrontDesk_Log!C82</f>
        <v/>
      </c>
      <c r="B82" s="48" t="str">
        <f>FrontDesk_Log!N82</f>
        <v/>
      </c>
      <c r="C82" s="45" t="str">
        <f>FrontDesk_Log!O82</f>
        <v/>
      </c>
      <c r="D82" s="45" t="str">
        <f t="shared" si="1"/>
        <v/>
      </c>
      <c r="E82" s="45" t="str">
        <f>FrontDesk_Log!P82</f>
        <v/>
      </c>
      <c r="F82" s="48" t="str">
        <f>FrontDesk_Log!Q82</f>
        <v/>
      </c>
      <c r="G82" s="51" t="str">
        <f>FrontDesk_Log!S82</f>
        <v/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45" t="str">
        <f>FrontDesk_Log!C83</f>
        <v/>
      </c>
      <c r="B83" s="48" t="str">
        <f>FrontDesk_Log!N83</f>
        <v/>
      </c>
      <c r="C83" s="45" t="str">
        <f>FrontDesk_Log!O83</f>
        <v/>
      </c>
      <c r="D83" s="45" t="str">
        <f t="shared" si="1"/>
        <v/>
      </c>
      <c r="E83" s="45" t="str">
        <f>FrontDesk_Log!P83</f>
        <v/>
      </c>
      <c r="F83" s="48" t="str">
        <f>FrontDesk_Log!Q83</f>
        <v/>
      </c>
      <c r="G83" s="51" t="str">
        <f>FrontDesk_Log!S83</f>
        <v/>
      </c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45" t="str">
        <f>FrontDesk_Log!C84</f>
        <v/>
      </c>
      <c r="B84" s="48" t="str">
        <f>FrontDesk_Log!N84</f>
        <v/>
      </c>
      <c r="C84" s="45" t="str">
        <f>FrontDesk_Log!O84</f>
        <v/>
      </c>
      <c r="D84" s="45" t="str">
        <f t="shared" si="1"/>
        <v/>
      </c>
      <c r="E84" s="45" t="str">
        <f>FrontDesk_Log!P84</f>
        <v/>
      </c>
      <c r="F84" s="48" t="str">
        <f>FrontDesk_Log!Q84</f>
        <v/>
      </c>
      <c r="G84" s="51" t="str">
        <f>FrontDesk_Log!S84</f>
        <v/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45" t="str">
        <f>FrontDesk_Log!C85</f>
        <v/>
      </c>
      <c r="B85" s="48" t="str">
        <f>FrontDesk_Log!N85</f>
        <v/>
      </c>
      <c r="C85" s="45" t="str">
        <f>FrontDesk_Log!O85</f>
        <v/>
      </c>
      <c r="D85" s="45" t="str">
        <f t="shared" si="1"/>
        <v/>
      </c>
      <c r="E85" s="45" t="str">
        <f>FrontDesk_Log!P85</f>
        <v/>
      </c>
      <c r="F85" s="48" t="str">
        <f>FrontDesk_Log!Q85</f>
        <v/>
      </c>
      <c r="G85" s="51" t="str">
        <f>FrontDesk_Log!S85</f>
        <v/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45" t="str">
        <f>FrontDesk_Log!C86</f>
        <v/>
      </c>
      <c r="B86" s="48" t="str">
        <f>FrontDesk_Log!N86</f>
        <v/>
      </c>
      <c r="C86" s="45" t="str">
        <f>FrontDesk_Log!O86</f>
        <v/>
      </c>
      <c r="D86" s="45" t="str">
        <f t="shared" si="1"/>
        <v/>
      </c>
      <c r="E86" s="45" t="str">
        <f>FrontDesk_Log!P86</f>
        <v/>
      </c>
      <c r="F86" s="48" t="str">
        <f>FrontDesk_Log!Q86</f>
        <v/>
      </c>
      <c r="G86" s="51" t="str">
        <f>FrontDesk_Log!S86</f>
        <v/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45" t="str">
        <f>FrontDesk_Log!C87</f>
        <v/>
      </c>
      <c r="B87" s="48" t="str">
        <f>FrontDesk_Log!N87</f>
        <v/>
      </c>
      <c r="C87" s="45" t="str">
        <f>FrontDesk_Log!O87</f>
        <v/>
      </c>
      <c r="D87" s="45" t="str">
        <f t="shared" si="1"/>
        <v/>
      </c>
      <c r="E87" s="45" t="str">
        <f>FrontDesk_Log!P87</f>
        <v/>
      </c>
      <c r="F87" s="48" t="str">
        <f>FrontDesk_Log!Q87</f>
        <v/>
      </c>
      <c r="G87" s="51" t="str">
        <f>FrontDesk_Log!S87</f>
        <v/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45" t="str">
        <f>FrontDesk_Log!C88</f>
        <v/>
      </c>
      <c r="B88" s="48" t="str">
        <f>FrontDesk_Log!N88</f>
        <v/>
      </c>
      <c r="C88" s="45" t="str">
        <f>FrontDesk_Log!O88</f>
        <v/>
      </c>
      <c r="D88" s="45" t="str">
        <f t="shared" si="1"/>
        <v/>
      </c>
      <c r="E88" s="45" t="str">
        <f>FrontDesk_Log!P88</f>
        <v/>
      </c>
      <c r="F88" s="48" t="str">
        <f>FrontDesk_Log!Q88</f>
        <v/>
      </c>
      <c r="G88" s="51" t="str">
        <f>FrontDesk_Log!S88</f>
        <v/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45" t="str">
        <f>FrontDesk_Log!C89</f>
        <v/>
      </c>
      <c r="B89" s="48" t="str">
        <f>FrontDesk_Log!N89</f>
        <v/>
      </c>
      <c r="C89" s="45" t="str">
        <f>FrontDesk_Log!O89</f>
        <v/>
      </c>
      <c r="D89" s="45" t="str">
        <f t="shared" si="1"/>
        <v/>
      </c>
      <c r="E89" s="45" t="str">
        <f>FrontDesk_Log!P89</f>
        <v/>
      </c>
      <c r="F89" s="48" t="str">
        <f>FrontDesk_Log!Q89</f>
        <v/>
      </c>
      <c r="G89" s="51" t="str">
        <f>FrontDesk_Log!S89</f>
        <v/>
      </c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45" t="str">
        <f>FrontDesk_Log!C90</f>
        <v/>
      </c>
      <c r="B90" s="48" t="str">
        <f>FrontDesk_Log!N90</f>
        <v/>
      </c>
      <c r="C90" s="45" t="str">
        <f>FrontDesk_Log!O90</f>
        <v/>
      </c>
      <c r="D90" s="45" t="str">
        <f t="shared" si="1"/>
        <v/>
      </c>
      <c r="E90" s="45" t="str">
        <f>FrontDesk_Log!P90</f>
        <v/>
      </c>
      <c r="F90" s="48" t="str">
        <f>FrontDesk_Log!Q90</f>
        <v/>
      </c>
      <c r="G90" s="51" t="str">
        <f>FrontDesk_Log!S90</f>
        <v/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45" t="str">
        <f>FrontDesk_Log!C91</f>
        <v/>
      </c>
      <c r="B91" s="48" t="str">
        <f>FrontDesk_Log!N91</f>
        <v/>
      </c>
      <c r="C91" s="45" t="str">
        <f>FrontDesk_Log!O91</f>
        <v/>
      </c>
      <c r="D91" s="45" t="str">
        <f t="shared" si="1"/>
        <v/>
      </c>
      <c r="E91" s="45" t="str">
        <f>FrontDesk_Log!P91</f>
        <v/>
      </c>
      <c r="F91" s="48" t="str">
        <f>FrontDesk_Log!Q91</f>
        <v/>
      </c>
      <c r="G91" s="51" t="str">
        <f>FrontDesk_Log!S91</f>
        <v/>
      </c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45" t="str">
        <f>FrontDesk_Log!C92</f>
        <v/>
      </c>
      <c r="B92" s="48" t="str">
        <f>FrontDesk_Log!N92</f>
        <v/>
      </c>
      <c r="C92" s="45" t="str">
        <f>FrontDesk_Log!O92</f>
        <v/>
      </c>
      <c r="D92" s="45" t="str">
        <f t="shared" si="1"/>
        <v/>
      </c>
      <c r="E92" s="45" t="str">
        <f>FrontDesk_Log!P92</f>
        <v/>
      </c>
      <c r="F92" s="48" t="str">
        <f>FrontDesk_Log!Q92</f>
        <v/>
      </c>
      <c r="G92" s="51" t="str">
        <f>FrontDesk_Log!S92</f>
        <v/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45" t="str">
        <f>FrontDesk_Log!C93</f>
        <v/>
      </c>
      <c r="B93" s="48" t="str">
        <f>FrontDesk_Log!N93</f>
        <v/>
      </c>
      <c r="C93" s="45" t="str">
        <f>FrontDesk_Log!O93</f>
        <v/>
      </c>
      <c r="D93" s="45" t="str">
        <f t="shared" si="1"/>
        <v/>
      </c>
      <c r="E93" s="45" t="str">
        <f>FrontDesk_Log!P93</f>
        <v/>
      </c>
      <c r="F93" s="48" t="str">
        <f>FrontDesk_Log!Q93</f>
        <v/>
      </c>
      <c r="G93" s="51" t="str">
        <f>FrontDesk_Log!S93</f>
        <v/>
      </c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45" t="str">
        <f>FrontDesk_Log!C94</f>
        <v/>
      </c>
      <c r="B94" s="48" t="str">
        <f>FrontDesk_Log!N94</f>
        <v/>
      </c>
      <c r="C94" s="45" t="str">
        <f>FrontDesk_Log!O94</f>
        <v/>
      </c>
      <c r="D94" s="45" t="str">
        <f t="shared" si="1"/>
        <v/>
      </c>
      <c r="E94" s="45" t="str">
        <f>FrontDesk_Log!P94</f>
        <v/>
      </c>
      <c r="F94" s="48" t="str">
        <f>FrontDesk_Log!Q94</f>
        <v/>
      </c>
      <c r="G94" s="51" t="str">
        <f>FrontDesk_Log!S94</f>
        <v/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45" t="str">
        <f>FrontDesk_Log!C95</f>
        <v/>
      </c>
      <c r="B95" s="48" t="str">
        <f>FrontDesk_Log!N95</f>
        <v/>
      </c>
      <c r="C95" s="45" t="str">
        <f>FrontDesk_Log!O95</f>
        <v/>
      </c>
      <c r="D95" s="45" t="str">
        <f t="shared" si="1"/>
        <v/>
      </c>
      <c r="E95" s="45" t="str">
        <f>FrontDesk_Log!P95</f>
        <v/>
      </c>
      <c r="F95" s="48" t="str">
        <f>FrontDesk_Log!Q95</f>
        <v/>
      </c>
      <c r="G95" s="51" t="str">
        <f>FrontDesk_Log!S95</f>
        <v/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45" t="str">
        <f>FrontDesk_Log!C96</f>
        <v/>
      </c>
      <c r="B96" s="48" t="str">
        <f>FrontDesk_Log!N96</f>
        <v/>
      </c>
      <c r="C96" s="45" t="str">
        <f>FrontDesk_Log!O96</f>
        <v/>
      </c>
      <c r="D96" s="45" t="str">
        <f t="shared" si="1"/>
        <v/>
      </c>
      <c r="E96" s="45" t="str">
        <f>FrontDesk_Log!P96</f>
        <v/>
      </c>
      <c r="F96" s="48" t="str">
        <f>FrontDesk_Log!Q96</f>
        <v/>
      </c>
      <c r="G96" s="51" t="str">
        <f>FrontDesk_Log!S96</f>
        <v/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45" t="str">
        <f>FrontDesk_Log!C97</f>
        <v/>
      </c>
      <c r="B97" s="48" t="str">
        <f>FrontDesk_Log!N97</f>
        <v/>
      </c>
      <c r="C97" s="45" t="str">
        <f>FrontDesk_Log!O97</f>
        <v/>
      </c>
      <c r="D97" s="45" t="str">
        <f t="shared" si="1"/>
        <v/>
      </c>
      <c r="E97" s="45" t="str">
        <f>FrontDesk_Log!P97</f>
        <v/>
      </c>
      <c r="F97" s="48" t="str">
        <f>FrontDesk_Log!Q97</f>
        <v/>
      </c>
      <c r="G97" s="51" t="str">
        <f>FrontDesk_Log!S97</f>
        <v/>
      </c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45" t="str">
        <f>FrontDesk_Log!C98</f>
        <v/>
      </c>
      <c r="B98" s="48" t="str">
        <f>FrontDesk_Log!N98</f>
        <v/>
      </c>
      <c r="C98" s="45" t="str">
        <f>FrontDesk_Log!O98</f>
        <v/>
      </c>
      <c r="D98" s="45" t="str">
        <f t="shared" si="1"/>
        <v/>
      </c>
      <c r="E98" s="45" t="str">
        <f>FrontDesk_Log!P98</f>
        <v/>
      </c>
      <c r="F98" s="48" t="str">
        <f>FrontDesk_Log!Q98</f>
        <v/>
      </c>
      <c r="G98" s="51" t="str">
        <f>FrontDesk_Log!S98</f>
        <v/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45" t="str">
        <f>FrontDesk_Log!C99</f>
        <v/>
      </c>
      <c r="B99" s="48" t="str">
        <f>FrontDesk_Log!N99</f>
        <v/>
      </c>
      <c r="C99" s="45" t="str">
        <f>FrontDesk_Log!O99</f>
        <v/>
      </c>
      <c r="D99" s="45" t="str">
        <f t="shared" si="1"/>
        <v/>
      </c>
      <c r="E99" s="45" t="str">
        <f>FrontDesk_Log!P99</f>
        <v/>
      </c>
      <c r="F99" s="48" t="str">
        <f>FrontDesk_Log!Q99</f>
        <v/>
      </c>
      <c r="G99" s="51" t="str">
        <f>FrontDesk_Log!S99</f>
        <v/>
      </c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45" t="str">
        <f>FrontDesk_Log!C100</f>
        <v/>
      </c>
      <c r="B100" s="48" t="str">
        <f>FrontDesk_Log!N100</f>
        <v/>
      </c>
      <c r="C100" s="45" t="str">
        <f>FrontDesk_Log!O100</f>
        <v/>
      </c>
      <c r="D100" s="45" t="str">
        <f t="shared" si="1"/>
        <v/>
      </c>
      <c r="E100" s="45" t="str">
        <f>FrontDesk_Log!P100</f>
        <v/>
      </c>
      <c r="F100" s="48" t="str">
        <f>FrontDesk_Log!Q100</f>
        <v/>
      </c>
      <c r="G100" s="51" t="str">
        <f>FrontDesk_Log!S100</f>
        <v/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45" t="str">
        <f>FrontDesk_Log!C101</f>
        <v/>
      </c>
      <c r="B101" s="48" t="str">
        <f>FrontDesk_Log!N101</f>
        <v/>
      </c>
      <c r="C101" s="45" t="str">
        <f>FrontDesk_Log!O101</f>
        <v/>
      </c>
      <c r="D101" s="45" t="str">
        <f t="shared" si="1"/>
        <v/>
      </c>
      <c r="E101" s="45" t="str">
        <f>FrontDesk_Log!P101</f>
        <v/>
      </c>
      <c r="F101" s="48" t="str">
        <f>FrontDesk_Log!Q101</f>
        <v/>
      </c>
      <c r="G101" s="51" t="str">
        <f>FrontDesk_Log!S101</f>
        <v/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45" t="str">
        <f>FrontDesk_Log!C102</f>
        <v/>
      </c>
      <c r="B102" s="48" t="str">
        <f>FrontDesk_Log!N102</f>
        <v/>
      </c>
      <c r="C102" s="45" t="str">
        <f>FrontDesk_Log!O102</f>
        <v/>
      </c>
      <c r="D102" s="45" t="str">
        <f t="shared" si="1"/>
        <v/>
      </c>
      <c r="E102" s="45" t="str">
        <f>FrontDesk_Log!P102</f>
        <v/>
      </c>
      <c r="F102" s="48" t="str">
        <f>FrontDesk_Log!Q102</f>
        <v/>
      </c>
      <c r="G102" s="51" t="str">
        <f>FrontDesk_Log!S102</f>
        <v/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45" t="str">
        <f>FrontDesk_Log!C103</f>
        <v/>
      </c>
      <c r="B103" s="48" t="str">
        <f>FrontDesk_Log!N103</f>
        <v/>
      </c>
      <c r="C103" s="45" t="str">
        <f>FrontDesk_Log!O103</f>
        <v/>
      </c>
      <c r="D103" s="45" t="str">
        <f t="shared" si="1"/>
        <v/>
      </c>
      <c r="E103" s="45" t="str">
        <f>FrontDesk_Log!P103</f>
        <v/>
      </c>
      <c r="F103" s="48" t="str">
        <f>FrontDesk_Log!Q103</f>
        <v/>
      </c>
      <c r="G103" s="51" t="str">
        <f>FrontDesk_Log!S103</f>
        <v/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45" t="str">
        <f>FrontDesk_Log!C104</f>
        <v/>
      </c>
      <c r="B104" s="48" t="str">
        <f>FrontDesk_Log!N104</f>
        <v/>
      </c>
      <c r="C104" s="45" t="str">
        <f>FrontDesk_Log!O104</f>
        <v/>
      </c>
      <c r="D104" s="45" t="str">
        <f t="shared" si="1"/>
        <v/>
      </c>
      <c r="E104" s="45" t="str">
        <f>FrontDesk_Log!P104</f>
        <v/>
      </c>
      <c r="F104" s="48" t="str">
        <f>FrontDesk_Log!Q104</f>
        <v/>
      </c>
      <c r="G104" s="51" t="str">
        <f>FrontDesk_Log!S104</f>
        <v/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45" t="str">
        <f>FrontDesk_Log!C105</f>
        <v/>
      </c>
      <c r="B105" s="48" t="str">
        <f>FrontDesk_Log!N105</f>
        <v/>
      </c>
      <c r="C105" s="45" t="str">
        <f>FrontDesk_Log!O105</f>
        <v/>
      </c>
      <c r="D105" s="45" t="str">
        <f t="shared" si="1"/>
        <v/>
      </c>
      <c r="E105" s="45" t="str">
        <f>FrontDesk_Log!P105</f>
        <v/>
      </c>
      <c r="F105" s="48" t="str">
        <f>FrontDesk_Log!Q105</f>
        <v/>
      </c>
      <c r="G105" s="51" t="str">
        <f>FrontDesk_Log!S105</f>
        <v/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45" t="str">
        <f>FrontDesk_Log!C106</f>
        <v/>
      </c>
      <c r="B106" s="48" t="str">
        <f>FrontDesk_Log!N106</f>
        <v/>
      </c>
      <c r="C106" s="45" t="str">
        <f>FrontDesk_Log!O106</f>
        <v/>
      </c>
      <c r="D106" s="45" t="str">
        <f t="shared" si="1"/>
        <v/>
      </c>
      <c r="E106" s="45" t="str">
        <f>FrontDesk_Log!P106</f>
        <v/>
      </c>
      <c r="F106" s="48" t="str">
        <f>FrontDesk_Log!Q106</f>
        <v/>
      </c>
      <c r="G106" s="51" t="str">
        <f>FrontDesk_Log!S106</f>
        <v/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45" t="str">
        <f>FrontDesk_Log!C107</f>
        <v/>
      </c>
      <c r="B107" s="48" t="str">
        <f>FrontDesk_Log!N107</f>
        <v/>
      </c>
      <c r="C107" s="45" t="str">
        <f>FrontDesk_Log!O107</f>
        <v/>
      </c>
      <c r="D107" s="45" t="str">
        <f t="shared" si="1"/>
        <v/>
      </c>
      <c r="E107" s="45" t="str">
        <f>FrontDesk_Log!P107</f>
        <v/>
      </c>
      <c r="F107" s="48" t="str">
        <f>FrontDesk_Log!Q107</f>
        <v/>
      </c>
      <c r="G107" s="51" t="str">
        <f>FrontDesk_Log!S107</f>
        <v/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45" t="str">
        <f>FrontDesk_Log!C108</f>
        <v/>
      </c>
      <c r="B108" s="48" t="str">
        <f>FrontDesk_Log!N108</f>
        <v/>
      </c>
      <c r="C108" s="45" t="str">
        <f>FrontDesk_Log!O108</f>
        <v/>
      </c>
      <c r="D108" s="45" t="str">
        <f t="shared" si="1"/>
        <v/>
      </c>
      <c r="E108" s="45" t="str">
        <f>FrontDesk_Log!P108</f>
        <v/>
      </c>
      <c r="F108" s="48" t="str">
        <f>FrontDesk_Log!Q108</f>
        <v/>
      </c>
      <c r="G108" s="51" t="str">
        <f>FrontDesk_Log!S108</f>
        <v/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45" t="str">
        <f>FrontDesk_Log!C109</f>
        <v/>
      </c>
      <c r="B109" s="48" t="str">
        <f>FrontDesk_Log!N109</f>
        <v/>
      </c>
      <c r="C109" s="45" t="str">
        <f>FrontDesk_Log!O109</f>
        <v/>
      </c>
      <c r="D109" s="45" t="str">
        <f t="shared" si="1"/>
        <v/>
      </c>
      <c r="E109" s="45" t="str">
        <f>FrontDesk_Log!P109</f>
        <v/>
      </c>
      <c r="F109" s="48" t="str">
        <f>FrontDesk_Log!Q109</f>
        <v/>
      </c>
      <c r="G109" s="51" t="str">
        <f>FrontDesk_Log!S109</f>
        <v/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45" t="str">
        <f>FrontDesk_Log!C110</f>
        <v/>
      </c>
      <c r="B110" s="48" t="str">
        <f>FrontDesk_Log!N110</f>
        <v/>
      </c>
      <c r="C110" s="45" t="str">
        <f>FrontDesk_Log!O110</f>
        <v/>
      </c>
      <c r="D110" s="45" t="str">
        <f t="shared" si="1"/>
        <v/>
      </c>
      <c r="E110" s="45" t="str">
        <f>FrontDesk_Log!P110</f>
        <v/>
      </c>
      <c r="F110" s="48" t="str">
        <f>FrontDesk_Log!Q110</f>
        <v/>
      </c>
      <c r="G110" s="51" t="str">
        <f>FrontDesk_Log!S110</f>
        <v/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45" t="str">
        <f>FrontDesk_Log!C111</f>
        <v/>
      </c>
      <c r="B111" s="48" t="str">
        <f>FrontDesk_Log!N111</f>
        <v/>
      </c>
      <c r="C111" s="45" t="str">
        <f>FrontDesk_Log!O111</f>
        <v/>
      </c>
      <c r="D111" s="45" t="str">
        <f t="shared" si="1"/>
        <v/>
      </c>
      <c r="E111" s="45" t="str">
        <f>FrontDesk_Log!P111</f>
        <v/>
      </c>
      <c r="F111" s="48" t="str">
        <f>FrontDesk_Log!Q111</f>
        <v/>
      </c>
      <c r="G111" s="51" t="str">
        <f>FrontDesk_Log!S111</f>
        <v/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45" t="str">
        <f>FrontDesk_Log!C112</f>
        <v/>
      </c>
      <c r="B112" s="48" t="str">
        <f>FrontDesk_Log!N112</f>
        <v/>
      </c>
      <c r="C112" s="45" t="str">
        <f>FrontDesk_Log!O112</f>
        <v/>
      </c>
      <c r="D112" s="45" t="str">
        <f t="shared" si="1"/>
        <v/>
      </c>
      <c r="E112" s="45" t="str">
        <f>FrontDesk_Log!P112</f>
        <v/>
      </c>
      <c r="F112" s="48" t="str">
        <f>FrontDesk_Log!Q112</f>
        <v/>
      </c>
      <c r="G112" s="51" t="str">
        <f>FrontDesk_Log!S112</f>
        <v/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45" t="str">
        <f>FrontDesk_Log!C113</f>
        <v/>
      </c>
      <c r="B113" s="48" t="str">
        <f>FrontDesk_Log!N113</f>
        <v/>
      </c>
      <c r="C113" s="45" t="str">
        <f>FrontDesk_Log!O113</f>
        <v/>
      </c>
      <c r="D113" s="45" t="str">
        <f t="shared" si="1"/>
        <v/>
      </c>
      <c r="E113" s="45" t="str">
        <f>FrontDesk_Log!P113</f>
        <v/>
      </c>
      <c r="F113" s="48" t="str">
        <f>FrontDesk_Log!Q113</f>
        <v/>
      </c>
      <c r="G113" s="51" t="str">
        <f>FrontDesk_Log!S113</f>
        <v/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45" t="str">
        <f>FrontDesk_Log!C114</f>
        <v/>
      </c>
      <c r="B114" s="48" t="str">
        <f>FrontDesk_Log!N114</f>
        <v/>
      </c>
      <c r="C114" s="45" t="str">
        <f>FrontDesk_Log!O114</f>
        <v/>
      </c>
      <c r="D114" s="45" t="str">
        <f t="shared" si="1"/>
        <v/>
      </c>
      <c r="E114" s="45" t="str">
        <f>FrontDesk_Log!P114</f>
        <v/>
      </c>
      <c r="F114" s="48" t="str">
        <f>FrontDesk_Log!Q114</f>
        <v/>
      </c>
      <c r="G114" s="51" t="str">
        <f>FrontDesk_Log!S114</f>
        <v/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45" t="str">
        <f>FrontDesk_Log!C115</f>
        <v/>
      </c>
      <c r="B115" s="48" t="str">
        <f>FrontDesk_Log!N115</f>
        <v/>
      </c>
      <c r="C115" s="45" t="str">
        <f>FrontDesk_Log!O115</f>
        <v/>
      </c>
      <c r="D115" s="45" t="str">
        <f t="shared" si="1"/>
        <v/>
      </c>
      <c r="E115" s="45" t="str">
        <f>FrontDesk_Log!P115</f>
        <v/>
      </c>
      <c r="F115" s="48" t="str">
        <f>FrontDesk_Log!Q115</f>
        <v/>
      </c>
      <c r="G115" s="51" t="str">
        <f>FrontDesk_Log!S115</f>
        <v/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45" t="str">
        <f>FrontDesk_Log!C116</f>
        <v/>
      </c>
      <c r="B116" s="48" t="str">
        <f>FrontDesk_Log!N116</f>
        <v/>
      </c>
      <c r="C116" s="45" t="str">
        <f>FrontDesk_Log!O116</f>
        <v/>
      </c>
      <c r="D116" s="45" t="str">
        <f t="shared" si="1"/>
        <v/>
      </c>
      <c r="E116" s="45" t="str">
        <f>FrontDesk_Log!P116</f>
        <v/>
      </c>
      <c r="F116" s="48" t="str">
        <f>FrontDesk_Log!Q116</f>
        <v/>
      </c>
      <c r="G116" s="51" t="str">
        <f>FrontDesk_Log!S116</f>
        <v/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45" t="str">
        <f>FrontDesk_Log!C117</f>
        <v/>
      </c>
      <c r="B117" s="48" t="str">
        <f>FrontDesk_Log!N117</f>
        <v/>
      </c>
      <c r="C117" s="45" t="str">
        <f>FrontDesk_Log!O117</f>
        <v/>
      </c>
      <c r="D117" s="45" t="str">
        <f t="shared" si="1"/>
        <v/>
      </c>
      <c r="E117" s="45" t="str">
        <f>FrontDesk_Log!P117</f>
        <v/>
      </c>
      <c r="F117" s="48" t="str">
        <f>FrontDesk_Log!Q117</f>
        <v/>
      </c>
      <c r="G117" s="51" t="str">
        <f>FrontDesk_Log!S117</f>
        <v/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45" t="str">
        <f>FrontDesk_Log!C118</f>
        <v/>
      </c>
      <c r="B118" s="48" t="str">
        <f>FrontDesk_Log!N118</f>
        <v/>
      </c>
      <c r="C118" s="45" t="str">
        <f>FrontDesk_Log!O118</f>
        <v/>
      </c>
      <c r="D118" s="45" t="str">
        <f t="shared" si="1"/>
        <v/>
      </c>
      <c r="E118" s="45" t="str">
        <f>FrontDesk_Log!P118</f>
        <v/>
      </c>
      <c r="F118" s="48" t="str">
        <f>FrontDesk_Log!Q118</f>
        <v/>
      </c>
      <c r="G118" s="51" t="str">
        <f>FrontDesk_Log!S118</f>
        <v/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45" t="str">
        <f>FrontDesk_Log!C119</f>
        <v/>
      </c>
      <c r="B119" s="48" t="str">
        <f>FrontDesk_Log!N119</f>
        <v/>
      </c>
      <c r="C119" s="45" t="str">
        <f>FrontDesk_Log!O119</f>
        <v/>
      </c>
      <c r="D119" s="45" t="str">
        <f t="shared" si="1"/>
        <v/>
      </c>
      <c r="E119" s="45" t="str">
        <f>FrontDesk_Log!P119</f>
        <v/>
      </c>
      <c r="F119" s="48" t="str">
        <f>FrontDesk_Log!Q119</f>
        <v/>
      </c>
      <c r="G119" s="51" t="str">
        <f>FrontDesk_Log!S119</f>
        <v/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45" t="str">
        <f>FrontDesk_Log!C120</f>
        <v/>
      </c>
      <c r="B120" s="48" t="str">
        <f>FrontDesk_Log!N120</f>
        <v/>
      </c>
      <c r="C120" s="45" t="str">
        <f>FrontDesk_Log!O120</f>
        <v/>
      </c>
      <c r="D120" s="45" t="str">
        <f t="shared" si="1"/>
        <v/>
      </c>
      <c r="E120" s="45" t="str">
        <f>FrontDesk_Log!P120</f>
        <v/>
      </c>
      <c r="F120" s="48" t="str">
        <f>FrontDesk_Log!Q120</f>
        <v/>
      </c>
      <c r="G120" s="51" t="str">
        <f>FrontDesk_Log!S120</f>
        <v/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45" t="str">
        <f>FrontDesk_Log!C121</f>
        <v/>
      </c>
      <c r="B121" s="48" t="str">
        <f>FrontDesk_Log!N121</f>
        <v/>
      </c>
      <c r="C121" s="45" t="str">
        <f>FrontDesk_Log!O121</f>
        <v/>
      </c>
      <c r="D121" s="45" t="str">
        <f t="shared" si="1"/>
        <v/>
      </c>
      <c r="E121" s="45" t="str">
        <f>FrontDesk_Log!P121</f>
        <v/>
      </c>
      <c r="F121" s="48" t="str">
        <f>FrontDesk_Log!Q121</f>
        <v/>
      </c>
      <c r="G121" s="51" t="str">
        <f>FrontDesk_Log!S121</f>
        <v/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45" t="str">
        <f>FrontDesk_Log!C122</f>
        <v/>
      </c>
      <c r="B122" s="48" t="str">
        <f>FrontDesk_Log!N122</f>
        <v/>
      </c>
      <c r="C122" s="45" t="str">
        <f>FrontDesk_Log!O122</f>
        <v/>
      </c>
      <c r="D122" s="45" t="str">
        <f t="shared" si="1"/>
        <v/>
      </c>
      <c r="E122" s="45" t="str">
        <f>FrontDesk_Log!P122</f>
        <v/>
      </c>
      <c r="F122" s="48" t="str">
        <f>FrontDesk_Log!Q122</f>
        <v/>
      </c>
      <c r="G122" s="51" t="str">
        <f>FrontDesk_Log!S122</f>
        <v/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45" t="str">
        <f>FrontDesk_Log!C123</f>
        <v/>
      </c>
      <c r="B123" s="48" t="str">
        <f>FrontDesk_Log!N123</f>
        <v/>
      </c>
      <c r="C123" s="45" t="str">
        <f>FrontDesk_Log!O123</f>
        <v/>
      </c>
      <c r="D123" s="45" t="str">
        <f t="shared" si="1"/>
        <v/>
      </c>
      <c r="E123" s="45" t="str">
        <f>FrontDesk_Log!P123</f>
        <v/>
      </c>
      <c r="F123" s="48" t="str">
        <f>FrontDesk_Log!Q123</f>
        <v/>
      </c>
      <c r="G123" s="51" t="str">
        <f>FrontDesk_Log!S123</f>
        <v/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45" t="str">
        <f>FrontDesk_Log!C124</f>
        <v/>
      </c>
      <c r="B124" s="48" t="str">
        <f>FrontDesk_Log!N124</f>
        <v/>
      </c>
      <c r="C124" s="45" t="str">
        <f>FrontDesk_Log!O124</f>
        <v/>
      </c>
      <c r="D124" s="45" t="str">
        <f t="shared" si="1"/>
        <v/>
      </c>
      <c r="E124" s="45" t="str">
        <f>FrontDesk_Log!P124</f>
        <v/>
      </c>
      <c r="F124" s="48" t="str">
        <f>FrontDesk_Log!Q124</f>
        <v/>
      </c>
      <c r="G124" s="51" t="str">
        <f>FrontDesk_Log!S124</f>
        <v/>
      </c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45" t="str">
        <f>FrontDesk_Log!C125</f>
        <v/>
      </c>
      <c r="B125" s="48" t="str">
        <f>FrontDesk_Log!N125</f>
        <v/>
      </c>
      <c r="C125" s="45" t="str">
        <f>FrontDesk_Log!O125</f>
        <v/>
      </c>
      <c r="D125" s="45" t="str">
        <f t="shared" si="1"/>
        <v/>
      </c>
      <c r="E125" s="45" t="str">
        <f>FrontDesk_Log!P125</f>
        <v/>
      </c>
      <c r="F125" s="48" t="str">
        <f>FrontDesk_Log!Q125</f>
        <v/>
      </c>
      <c r="G125" s="51" t="str">
        <f>FrontDesk_Log!S125</f>
        <v/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45" t="str">
        <f>FrontDesk_Log!C126</f>
        <v/>
      </c>
      <c r="B126" s="48" t="str">
        <f>FrontDesk_Log!N126</f>
        <v/>
      </c>
      <c r="C126" s="45" t="str">
        <f>FrontDesk_Log!O126</f>
        <v/>
      </c>
      <c r="D126" s="45" t="str">
        <f t="shared" si="1"/>
        <v/>
      </c>
      <c r="E126" s="45" t="str">
        <f>FrontDesk_Log!P126</f>
        <v/>
      </c>
      <c r="F126" s="48" t="str">
        <f>FrontDesk_Log!Q126</f>
        <v/>
      </c>
      <c r="G126" s="51" t="str">
        <f>FrontDesk_Log!S126</f>
        <v/>
      </c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45" t="str">
        <f>FrontDesk_Log!C127</f>
        <v/>
      </c>
      <c r="B127" s="48" t="str">
        <f>FrontDesk_Log!N127</f>
        <v/>
      </c>
      <c r="C127" s="45" t="str">
        <f>FrontDesk_Log!O127</f>
        <v/>
      </c>
      <c r="D127" s="45" t="str">
        <f t="shared" si="1"/>
        <v/>
      </c>
      <c r="E127" s="45" t="str">
        <f>FrontDesk_Log!P127</f>
        <v/>
      </c>
      <c r="F127" s="48" t="str">
        <f>FrontDesk_Log!Q127</f>
        <v/>
      </c>
      <c r="G127" s="51" t="str">
        <f>FrontDesk_Log!S127</f>
        <v/>
      </c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45" t="str">
        <f>FrontDesk_Log!C128</f>
        <v/>
      </c>
      <c r="B128" s="48" t="str">
        <f>FrontDesk_Log!N128</f>
        <v/>
      </c>
      <c r="C128" s="45" t="str">
        <f>FrontDesk_Log!O128</f>
        <v/>
      </c>
      <c r="D128" s="45" t="str">
        <f t="shared" si="1"/>
        <v/>
      </c>
      <c r="E128" s="45" t="str">
        <f>FrontDesk_Log!P128</f>
        <v/>
      </c>
      <c r="F128" s="48" t="str">
        <f>FrontDesk_Log!Q128</f>
        <v/>
      </c>
      <c r="G128" s="51" t="str">
        <f>FrontDesk_Log!S128</f>
        <v/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45" t="str">
        <f>FrontDesk_Log!C129</f>
        <v/>
      </c>
      <c r="B129" s="48" t="str">
        <f>FrontDesk_Log!N129</f>
        <v/>
      </c>
      <c r="C129" s="45" t="str">
        <f>FrontDesk_Log!O129</f>
        <v/>
      </c>
      <c r="D129" s="45" t="str">
        <f t="shared" si="1"/>
        <v/>
      </c>
      <c r="E129" s="45" t="str">
        <f>FrontDesk_Log!P129</f>
        <v/>
      </c>
      <c r="F129" s="48" t="str">
        <f>FrontDesk_Log!Q129</f>
        <v/>
      </c>
      <c r="G129" s="51" t="str">
        <f>FrontDesk_Log!S129</f>
        <v/>
      </c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45" t="str">
        <f>FrontDesk_Log!C130</f>
        <v/>
      </c>
      <c r="B130" s="48" t="str">
        <f>FrontDesk_Log!N130</f>
        <v/>
      </c>
      <c r="C130" s="45" t="str">
        <f>FrontDesk_Log!O130</f>
        <v/>
      </c>
      <c r="D130" s="45" t="str">
        <f t="shared" si="1"/>
        <v/>
      </c>
      <c r="E130" s="45" t="str">
        <f>FrontDesk_Log!P130</f>
        <v/>
      </c>
      <c r="F130" s="48" t="str">
        <f>FrontDesk_Log!Q130</f>
        <v/>
      </c>
      <c r="G130" s="51" t="str">
        <f>FrontDesk_Log!S130</f>
        <v/>
      </c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45" t="str">
        <f>FrontDesk_Log!C131</f>
        <v/>
      </c>
      <c r="B131" s="48" t="str">
        <f>FrontDesk_Log!N131</f>
        <v/>
      </c>
      <c r="C131" s="45" t="str">
        <f>FrontDesk_Log!O131</f>
        <v/>
      </c>
      <c r="D131" s="45" t="str">
        <f t="shared" si="1"/>
        <v/>
      </c>
      <c r="E131" s="45" t="str">
        <f>FrontDesk_Log!P131</f>
        <v/>
      </c>
      <c r="F131" s="48" t="str">
        <f>FrontDesk_Log!Q131</f>
        <v/>
      </c>
      <c r="G131" s="51" t="str">
        <f>FrontDesk_Log!S131</f>
        <v/>
      </c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45" t="str">
        <f>FrontDesk_Log!C132</f>
        <v/>
      </c>
      <c r="B132" s="48" t="str">
        <f>FrontDesk_Log!N132</f>
        <v/>
      </c>
      <c r="C132" s="45" t="str">
        <f>FrontDesk_Log!O132</f>
        <v/>
      </c>
      <c r="D132" s="45" t="str">
        <f t="shared" si="1"/>
        <v/>
      </c>
      <c r="E132" s="45" t="str">
        <f>FrontDesk_Log!P132</f>
        <v/>
      </c>
      <c r="F132" s="48" t="str">
        <f>FrontDesk_Log!Q132</f>
        <v/>
      </c>
      <c r="G132" s="51" t="str">
        <f>FrontDesk_Log!S132</f>
        <v/>
      </c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45" t="str">
        <f>FrontDesk_Log!C133</f>
        <v/>
      </c>
      <c r="B133" s="48" t="str">
        <f>FrontDesk_Log!N133</f>
        <v/>
      </c>
      <c r="C133" s="45" t="str">
        <f>FrontDesk_Log!O133</f>
        <v/>
      </c>
      <c r="D133" s="45" t="str">
        <f t="shared" si="1"/>
        <v/>
      </c>
      <c r="E133" s="45" t="str">
        <f>FrontDesk_Log!P133</f>
        <v/>
      </c>
      <c r="F133" s="48" t="str">
        <f>FrontDesk_Log!Q133</f>
        <v/>
      </c>
      <c r="G133" s="51" t="str">
        <f>FrontDesk_Log!S133</f>
        <v/>
      </c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45" t="str">
        <f>FrontDesk_Log!C134</f>
        <v/>
      </c>
      <c r="B134" s="48" t="str">
        <f>FrontDesk_Log!N134</f>
        <v/>
      </c>
      <c r="C134" s="45" t="str">
        <f>FrontDesk_Log!O134</f>
        <v/>
      </c>
      <c r="D134" s="45" t="str">
        <f t="shared" si="1"/>
        <v/>
      </c>
      <c r="E134" s="45" t="str">
        <f>FrontDesk_Log!P134</f>
        <v/>
      </c>
      <c r="F134" s="48" t="str">
        <f>FrontDesk_Log!Q134</f>
        <v/>
      </c>
      <c r="G134" s="51" t="str">
        <f>FrontDesk_Log!S134</f>
        <v/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45" t="str">
        <f>FrontDesk_Log!C135</f>
        <v/>
      </c>
      <c r="B135" s="48" t="str">
        <f>FrontDesk_Log!N135</f>
        <v/>
      </c>
      <c r="C135" s="45" t="str">
        <f>FrontDesk_Log!O135</f>
        <v/>
      </c>
      <c r="D135" s="45" t="str">
        <f t="shared" si="1"/>
        <v/>
      </c>
      <c r="E135" s="45" t="str">
        <f>FrontDesk_Log!P135</f>
        <v/>
      </c>
      <c r="F135" s="48" t="str">
        <f>FrontDesk_Log!Q135</f>
        <v/>
      </c>
      <c r="G135" s="51" t="str">
        <f>FrontDesk_Log!S135</f>
        <v/>
      </c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45" t="str">
        <f>FrontDesk_Log!C136</f>
        <v/>
      </c>
      <c r="B136" s="48" t="str">
        <f>FrontDesk_Log!N136</f>
        <v/>
      </c>
      <c r="C136" s="45" t="str">
        <f>FrontDesk_Log!O136</f>
        <v/>
      </c>
      <c r="D136" s="45" t="str">
        <f t="shared" si="1"/>
        <v/>
      </c>
      <c r="E136" s="45" t="str">
        <f>FrontDesk_Log!P136</f>
        <v/>
      </c>
      <c r="F136" s="48" t="str">
        <f>FrontDesk_Log!Q136</f>
        <v/>
      </c>
      <c r="G136" s="51" t="str">
        <f>FrontDesk_Log!S136</f>
        <v/>
      </c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45" t="str">
        <f>FrontDesk_Log!C137</f>
        <v/>
      </c>
      <c r="B137" s="48" t="str">
        <f>FrontDesk_Log!N137</f>
        <v/>
      </c>
      <c r="C137" s="45" t="str">
        <f>FrontDesk_Log!O137</f>
        <v/>
      </c>
      <c r="D137" s="45" t="str">
        <f t="shared" si="1"/>
        <v/>
      </c>
      <c r="E137" s="45" t="str">
        <f>FrontDesk_Log!P137</f>
        <v/>
      </c>
      <c r="F137" s="48" t="str">
        <f>FrontDesk_Log!Q137</f>
        <v/>
      </c>
      <c r="G137" s="51" t="str">
        <f>FrontDesk_Log!S137</f>
        <v/>
      </c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45" t="str">
        <f>FrontDesk_Log!C138</f>
        <v/>
      </c>
      <c r="B138" s="48" t="str">
        <f>FrontDesk_Log!N138</f>
        <v/>
      </c>
      <c r="C138" s="45" t="str">
        <f>FrontDesk_Log!O138</f>
        <v/>
      </c>
      <c r="D138" s="45" t="str">
        <f t="shared" si="1"/>
        <v/>
      </c>
      <c r="E138" s="45" t="str">
        <f>FrontDesk_Log!P138</f>
        <v/>
      </c>
      <c r="F138" s="48" t="str">
        <f>FrontDesk_Log!Q138</f>
        <v/>
      </c>
      <c r="G138" s="51" t="str">
        <f>FrontDesk_Log!S138</f>
        <v/>
      </c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45" t="str">
        <f>FrontDesk_Log!C139</f>
        <v/>
      </c>
      <c r="B139" s="48" t="str">
        <f>FrontDesk_Log!N139</f>
        <v/>
      </c>
      <c r="C139" s="45" t="str">
        <f>FrontDesk_Log!O139</f>
        <v/>
      </c>
      <c r="D139" s="45" t="str">
        <f t="shared" si="1"/>
        <v/>
      </c>
      <c r="E139" s="45" t="str">
        <f>FrontDesk_Log!P139</f>
        <v/>
      </c>
      <c r="F139" s="48" t="str">
        <f>FrontDesk_Log!Q139</f>
        <v/>
      </c>
      <c r="G139" s="51" t="str">
        <f>FrontDesk_Log!S139</f>
        <v/>
      </c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45" t="str">
        <f>FrontDesk_Log!C140</f>
        <v/>
      </c>
      <c r="B140" s="48" t="str">
        <f>FrontDesk_Log!N140</f>
        <v/>
      </c>
      <c r="C140" s="45" t="str">
        <f>FrontDesk_Log!O140</f>
        <v/>
      </c>
      <c r="D140" s="45" t="str">
        <f t="shared" si="1"/>
        <v/>
      </c>
      <c r="E140" s="45" t="str">
        <f>FrontDesk_Log!P140</f>
        <v/>
      </c>
      <c r="F140" s="48" t="str">
        <f>FrontDesk_Log!Q140</f>
        <v/>
      </c>
      <c r="G140" s="51" t="str">
        <f>FrontDesk_Log!S140</f>
        <v/>
      </c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45" t="str">
        <f>FrontDesk_Log!C141</f>
        <v/>
      </c>
      <c r="B141" s="48" t="str">
        <f>FrontDesk_Log!N141</f>
        <v/>
      </c>
      <c r="C141" s="45" t="str">
        <f>FrontDesk_Log!O141</f>
        <v/>
      </c>
      <c r="D141" s="45" t="str">
        <f t="shared" si="1"/>
        <v/>
      </c>
      <c r="E141" s="45" t="str">
        <f>FrontDesk_Log!P141</f>
        <v/>
      </c>
      <c r="F141" s="48" t="str">
        <f>FrontDesk_Log!Q141</f>
        <v/>
      </c>
      <c r="G141" s="51" t="str">
        <f>FrontDesk_Log!S141</f>
        <v/>
      </c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45" t="str">
        <f>FrontDesk_Log!C142</f>
        <v/>
      </c>
      <c r="B142" s="48" t="str">
        <f>FrontDesk_Log!N142</f>
        <v/>
      </c>
      <c r="C142" s="45" t="str">
        <f>FrontDesk_Log!O142</f>
        <v/>
      </c>
      <c r="D142" s="45" t="str">
        <f t="shared" si="1"/>
        <v/>
      </c>
      <c r="E142" s="45" t="str">
        <f>FrontDesk_Log!P142</f>
        <v/>
      </c>
      <c r="F142" s="48" t="str">
        <f>FrontDesk_Log!Q142</f>
        <v/>
      </c>
      <c r="G142" s="51" t="str">
        <f>FrontDesk_Log!S142</f>
        <v/>
      </c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45" t="str">
        <f>FrontDesk_Log!C143</f>
        <v/>
      </c>
      <c r="B143" s="48" t="str">
        <f>FrontDesk_Log!N143</f>
        <v/>
      </c>
      <c r="C143" s="45" t="str">
        <f>FrontDesk_Log!O143</f>
        <v/>
      </c>
      <c r="D143" s="45" t="str">
        <f t="shared" si="1"/>
        <v/>
      </c>
      <c r="E143" s="45" t="str">
        <f>FrontDesk_Log!P143</f>
        <v/>
      </c>
      <c r="F143" s="48" t="str">
        <f>FrontDesk_Log!Q143</f>
        <v/>
      </c>
      <c r="G143" s="51" t="str">
        <f>FrontDesk_Log!S143</f>
        <v/>
      </c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45" t="str">
        <f>FrontDesk_Log!C144</f>
        <v/>
      </c>
      <c r="B144" s="48" t="str">
        <f>FrontDesk_Log!N144</f>
        <v/>
      </c>
      <c r="C144" s="45" t="str">
        <f>FrontDesk_Log!O144</f>
        <v/>
      </c>
      <c r="D144" s="45" t="str">
        <f t="shared" si="1"/>
        <v/>
      </c>
      <c r="E144" s="45" t="str">
        <f>FrontDesk_Log!P144</f>
        <v/>
      </c>
      <c r="F144" s="48" t="str">
        <f>FrontDesk_Log!Q144</f>
        <v/>
      </c>
      <c r="G144" s="51" t="str">
        <f>FrontDesk_Log!S144</f>
        <v/>
      </c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45" t="str">
        <f>FrontDesk_Log!C145</f>
        <v/>
      </c>
      <c r="B145" s="48" t="str">
        <f>FrontDesk_Log!N145</f>
        <v/>
      </c>
      <c r="C145" s="45" t="str">
        <f>FrontDesk_Log!O145</f>
        <v/>
      </c>
      <c r="D145" s="45" t="str">
        <f t="shared" si="1"/>
        <v/>
      </c>
      <c r="E145" s="45" t="str">
        <f>FrontDesk_Log!P145</f>
        <v/>
      </c>
      <c r="F145" s="48" t="str">
        <f>FrontDesk_Log!Q145</f>
        <v/>
      </c>
      <c r="G145" s="51" t="str">
        <f>FrontDesk_Log!S145</f>
        <v/>
      </c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45" t="str">
        <f>FrontDesk_Log!C146</f>
        <v/>
      </c>
      <c r="B146" s="48" t="str">
        <f>FrontDesk_Log!N146</f>
        <v/>
      </c>
      <c r="C146" s="45" t="str">
        <f>FrontDesk_Log!O146</f>
        <v/>
      </c>
      <c r="D146" s="45" t="str">
        <f t="shared" si="1"/>
        <v/>
      </c>
      <c r="E146" s="45" t="str">
        <f>FrontDesk_Log!P146</f>
        <v/>
      </c>
      <c r="F146" s="48" t="str">
        <f>FrontDesk_Log!Q146</f>
        <v/>
      </c>
      <c r="G146" s="51" t="str">
        <f>FrontDesk_Log!S146</f>
        <v/>
      </c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45" t="str">
        <f>FrontDesk_Log!C147</f>
        <v/>
      </c>
      <c r="B147" s="48" t="str">
        <f>FrontDesk_Log!N147</f>
        <v/>
      </c>
      <c r="C147" s="45" t="str">
        <f>FrontDesk_Log!O147</f>
        <v/>
      </c>
      <c r="D147" s="45" t="str">
        <f t="shared" si="1"/>
        <v/>
      </c>
      <c r="E147" s="45" t="str">
        <f>FrontDesk_Log!P147</f>
        <v/>
      </c>
      <c r="F147" s="48" t="str">
        <f>FrontDesk_Log!Q147</f>
        <v/>
      </c>
      <c r="G147" s="51" t="str">
        <f>FrontDesk_Log!S147</f>
        <v/>
      </c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45" t="str">
        <f>FrontDesk_Log!C148</f>
        <v/>
      </c>
      <c r="B148" s="48" t="str">
        <f>FrontDesk_Log!N148</f>
        <v/>
      </c>
      <c r="C148" s="45" t="str">
        <f>FrontDesk_Log!O148</f>
        <v/>
      </c>
      <c r="D148" s="45" t="str">
        <f t="shared" si="1"/>
        <v/>
      </c>
      <c r="E148" s="45" t="str">
        <f>FrontDesk_Log!P148</f>
        <v/>
      </c>
      <c r="F148" s="48" t="str">
        <f>FrontDesk_Log!Q148</f>
        <v/>
      </c>
      <c r="G148" s="51" t="str">
        <f>FrontDesk_Log!S148</f>
        <v/>
      </c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45" t="str">
        <f>FrontDesk_Log!C149</f>
        <v/>
      </c>
      <c r="B149" s="48" t="str">
        <f>FrontDesk_Log!N149</f>
        <v/>
      </c>
      <c r="C149" s="45" t="str">
        <f>FrontDesk_Log!O149</f>
        <v/>
      </c>
      <c r="D149" s="45" t="str">
        <f t="shared" si="1"/>
        <v/>
      </c>
      <c r="E149" s="45" t="str">
        <f>FrontDesk_Log!P149</f>
        <v/>
      </c>
      <c r="F149" s="48" t="str">
        <f>FrontDesk_Log!Q149</f>
        <v/>
      </c>
      <c r="G149" s="51" t="str">
        <f>FrontDesk_Log!S149</f>
        <v/>
      </c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45" t="str">
        <f>FrontDesk_Log!C150</f>
        <v/>
      </c>
      <c r="B150" s="48" t="str">
        <f>FrontDesk_Log!N150</f>
        <v/>
      </c>
      <c r="C150" s="45" t="str">
        <f>FrontDesk_Log!O150</f>
        <v/>
      </c>
      <c r="D150" s="45" t="str">
        <f t="shared" si="1"/>
        <v/>
      </c>
      <c r="E150" s="45" t="str">
        <f>FrontDesk_Log!P150</f>
        <v/>
      </c>
      <c r="F150" s="48" t="str">
        <f>FrontDesk_Log!Q150</f>
        <v/>
      </c>
      <c r="G150" s="51" t="str">
        <f>FrontDesk_Log!S150</f>
        <v/>
      </c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45" t="str">
        <f>FrontDesk_Log!C151</f>
        <v/>
      </c>
      <c r="B151" s="48" t="str">
        <f>FrontDesk_Log!N151</f>
        <v/>
      </c>
      <c r="C151" s="45" t="str">
        <f>FrontDesk_Log!O151</f>
        <v/>
      </c>
      <c r="D151" s="45" t="str">
        <f t="shared" si="1"/>
        <v/>
      </c>
      <c r="E151" s="45" t="str">
        <f>FrontDesk_Log!P151</f>
        <v/>
      </c>
      <c r="F151" s="48" t="str">
        <f>FrontDesk_Log!Q151</f>
        <v/>
      </c>
      <c r="G151" s="51" t="str">
        <f>FrontDesk_Log!S151</f>
        <v/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45" t="str">
        <f>FrontDesk_Log!C152</f>
        <v/>
      </c>
      <c r="B152" s="48" t="str">
        <f>FrontDesk_Log!N152</f>
        <v/>
      </c>
      <c r="C152" s="45" t="str">
        <f>FrontDesk_Log!O152</f>
        <v/>
      </c>
      <c r="D152" s="45" t="str">
        <f t="shared" si="1"/>
        <v/>
      </c>
      <c r="E152" s="45" t="str">
        <f>FrontDesk_Log!P152</f>
        <v/>
      </c>
      <c r="F152" s="48" t="str">
        <f>FrontDesk_Log!Q152</f>
        <v/>
      </c>
      <c r="G152" s="51" t="str">
        <f>FrontDesk_Log!S152</f>
        <v/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45" t="str">
        <f>FrontDesk_Log!C153</f>
        <v/>
      </c>
      <c r="B153" s="48" t="str">
        <f>FrontDesk_Log!N153</f>
        <v/>
      </c>
      <c r="C153" s="45" t="str">
        <f>FrontDesk_Log!O153</f>
        <v/>
      </c>
      <c r="D153" s="45" t="str">
        <f t="shared" si="1"/>
        <v/>
      </c>
      <c r="E153" s="45" t="str">
        <f>FrontDesk_Log!P153</f>
        <v/>
      </c>
      <c r="F153" s="48" t="str">
        <f>FrontDesk_Log!Q153</f>
        <v/>
      </c>
      <c r="G153" s="51" t="str">
        <f>FrontDesk_Log!S153</f>
        <v/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45" t="str">
        <f>FrontDesk_Log!C154</f>
        <v/>
      </c>
      <c r="B154" s="48" t="str">
        <f>FrontDesk_Log!N154</f>
        <v/>
      </c>
      <c r="C154" s="45" t="str">
        <f>FrontDesk_Log!O154</f>
        <v/>
      </c>
      <c r="D154" s="45" t="str">
        <f t="shared" si="1"/>
        <v/>
      </c>
      <c r="E154" s="45" t="str">
        <f>FrontDesk_Log!P154</f>
        <v/>
      </c>
      <c r="F154" s="48" t="str">
        <f>FrontDesk_Log!Q154</f>
        <v/>
      </c>
      <c r="G154" s="51" t="str">
        <f>FrontDesk_Log!S154</f>
        <v/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45" t="str">
        <f>FrontDesk_Log!C155</f>
        <v/>
      </c>
      <c r="B155" s="48" t="str">
        <f>FrontDesk_Log!N155</f>
        <v/>
      </c>
      <c r="C155" s="45" t="str">
        <f>FrontDesk_Log!O155</f>
        <v/>
      </c>
      <c r="D155" s="45" t="str">
        <f t="shared" si="1"/>
        <v/>
      </c>
      <c r="E155" s="45" t="str">
        <f>FrontDesk_Log!P155</f>
        <v/>
      </c>
      <c r="F155" s="48" t="str">
        <f>FrontDesk_Log!Q155</f>
        <v/>
      </c>
      <c r="G155" s="51" t="str">
        <f>FrontDesk_Log!S155</f>
        <v/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45" t="str">
        <f>FrontDesk_Log!C156</f>
        <v/>
      </c>
      <c r="B156" s="48" t="str">
        <f>FrontDesk_Log!N156</f>
        <v/>
      </c>
      <c r="C156" s="45" t="str">
        <f>FrontDesk_Log!O156</f>
        <v/>
      </c>
      <c r="D156" s="45" t="str">
        <f t="shared" si="1"/>
        <v/>
      </c>
      <c r="E156" s="45" t="str">
        <f>FrontDesk_Log!P156</f>
        <v/>
      </c>
      <c r="F156" s="48" t="str">
        <f>FrontDesk_Log!Q156</f>
        <v/>
      </c>
      <c r="G156" s="51" t="str">
        <f>FrontDesk_Log!S156</f>
        <v/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45" t="str">
        <f>FrontDesk_Log!C157</f>
        <v/>
      </c>
      <c r="B157" s="48" t="str">
        <f>FrontDesk_Log!N157</f>
        <v/>
      </c>
      <c r="C157" s="45" t="str">
        <f>FrontDesk_Log!O157</f>
        <v/>
      </c>
      <c r="D157" s="45" t="str">
        <f t="shared" si="1"/>
        <v/>
      </c>
      <c r="E157" s="45" t="str">
        <f>FrontDesk_Log!P157</f>
        <v/>
      </c>
      <c r="F157" s="48" t="str">
        <f>FrontDesk_Log!Q157</f>
        <v/>
      </c>
      <c r="G157" s="51" t="str">
        <f>FrontDesk_Log!S157</f>
        <v/>
      </c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45" t="str">
        <f>FrontDesk_Log!C158</f>
        <v/>
      </c>
      <c r="B158" s="48" t="str">
        <f>FrontDesk_Log!N158</f>
        <v/>
      </c>
      <c r="C158" s="45" t="str">
        <f>FrontDesk_Log!O158</f>
        <v/>
      </c>
      <c r="D158" s="45" t="str">
        <f t="shared" si="1"/>
        <v/>
      </c>
      <c r="E158" s="45" t="str">
        <f>FrontDesk_Log!P158</f>
        <v/>
      </c>
      <c r="F158" s="48" t="str">
        <f>FrontDesk_Log!Q158</f>
        <v/>
      </c>
      <c r="G158" s="51" t="str">
        <f>FrontDesk_Log!S158</f>
        <v/>
      </c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45" t="str">
        <f>FrontDesk_Log!C159</f>
        <v/>
      </c>
      <c r="B159" s="48" t="str">
        <f>FrontDesk_Log!N159</f>
        <v/>
      </c>
      <c r="C159" s="45" t="str">
        <f>FrontDesk_Log!O159</f>
        <v/>
      </c>
      <c r="D159" s="45" t="str">
        <f t="shared" si="1"/>
        <v/>
      </c>
      <c r="E159" s="45" t="str">
        <f>FrontDesk_Log!P159</f>
        <v/>
      </c>
      <c r="F159" s="48" t="str">
        <f>FrontDesk_Log!Q159</f>
        <v/>
      </c>
      <c r="G159" s="51" t="str">
        <f>FrontDesk_Log!S159</f>
        <v/>
      </c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45" t="str">
        <f>FrontDesk_Log!C160</f>
        <v/>
      </c>
      <c r="B160" s="48" t="str">
        <f>FrontDesk_Log!N160</f>
        <v/>
      </c>
      <c r="C160" s="45" t="str">
        <f>FrontDesk_Log!O160</f>
        <v/>
      </c>
      <c r="D160" s="45" t="str">
        <f t="shared" si="1"/>
        <v/>
      </c>
      <c r="E160" s="45" t="str">
        <f>FrontDesk_Log!P160</f>
        <v/>
      </c>
      <c r="F160" s="48" t="str">
        <f>FrontDesk_Log!Q160</f>
        <v/>
      </c>
      <c r="G160" s="51" t="str">
        <f>FrontDesk_Log!S160</f>
        <v/>
      </c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45" t="str">
        <f>FrontDesk_Log!C161</f>
        <v/>
      </c>
      <c r="B161" s="48" t="str">
        <f>FrontDesk_Log!N161</f>
        <v/>
      </c>
      <c r="C161" s="45" t="str">
        <f>FrontDesk_Log!O161</f>
        <v/>
      </c>
      <c r="D161" s="45" t="str">
        <f t="shared" si="1"/>
        <v/>
      </c>
      <c r="E161" s="45" t="str">
        <f>FrontDesk_Log!P161</f>
        <v/>
      </c>
      <c r="F161" s="48" t="str">
        <f>FrontDesk_Log!Q161</f>
        <v/>
      </c>
      <c r="G161" s="51" t="str">
        <f>FrontDesk_Log!S161</f>
        <v/>
      </c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45" t="str">
        <f>FrontDesk_Log!C162</f>
        <v/>
      </c>
      <c r="B162" s="48" t="str">
        <f>FrontDesk_Log!N162</f>
        <v/>
      </c>
      <c r="C162" s="45" t="str">
        <f>FrontDesk_Log!O162</f>
        <v/>
      </c>
      <c r="D162" s="45" t="str">
        <f t="shared" si="1"/>
        <v/>
      </c>
      <c r="E162" s="45" t="str">
        <f>FrontDesk_Log!P162</f>
        <v/>
      </c>
      <c r="F162" s="48" t="str">
        <f>FrontDesk_Log!Q162</f>
        <v/>
      </c>
      <c r="G162" s="51" t="str">
        <f>FrontDesk_Log!S162</f>
        <v/>
      </c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45" t="str">
        <f>FrontDesk_Log!C163</f>
        <v/>
      </c>
      <c r="B163" s="48" t="str">
        <f>FrontDesk_Log!N163</f>
        <v/>
      </c>
      <c r="C163" s="45" t="str">
        <f>FrontDesk_Log!O163</f>
        <v/>
      </c>
      <c r="D163" s="45" t="str">
        <f t="shared" si="1"/>
        <v/>
      </c>
      <c r="E163" s="45" t="str">
        <f>FrontDesk_Log!P163</f>
        <v/>
      </c>
      <c r="F163" s="48" t="str">
        <f>FrontDesk_Log!Q163</f>
        <v/>
      </c>
      <c r="G163" s="51" t="str">
        <f>FrontDesk_Log!S163</f>
        <v/>
      </c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45" t="str">
        <f>FrontDesk_Log!C164</f>
        <v/>
      </c>
      <c r="B164" s="48" t="str">
        <f>FrontDesk_Log!N164</f>
        <v/>
      </c>
      <c r="C164" s="45" t="str">
        <f>FrontDesk_Log!O164</f>
        <v/>
      </c>
      <c r="D164" s="45" t="str">
        <f t="shared" si="1"/>
        <v/>
      </c>
      <c r="E164" s="45" t="str">
        <f>FrontDesk_Log!P164</f>
        <v/>
      </c>
      <c r="F164" s="48" t="str">
        <f>FrontDesk_Log!Q164</f>
        <v/>
      </c>
      <c r="G164" s="51" t="str">
        <f>FrontDesk_Log!S164</f>
        <v/>
      </c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45" t="str">
        <f>FrontDesk_Log!C165</f>
        <v/>
      </c>
      <c r="B165" s="48" t="str">
        <f>FrontDesk_Log!N165</f>
        <v/>
      </c>
      <c r="C165" s="45" t="str">
        <f>FrontDesk_Log!O165</f>
        <v/>
      </c>
      <c r="D165" s="45" t="str">
        <f t="shared" si="1"/>
        <v/>
      </c>
      <c r="E165" s="45" t="str">
        <f>FrontDesk_Log!P165</f>
        <v/>
      </c>
      <c r="F165" s="48" t="str">
        <f>FrontDesk_Log!Q165</f>
        <v/>
      </c>
      <c r="G165" s="51" t="str">
        <f>FrontDesk_Log!S165</f>
        <v/>
      </c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45" t="str">
        <f>FrontDesk_Log!C166</f>
        <v/>
      </c>
      <c r="B166" s="48" t="str">
        <f>FrontDesk_Log!N166</f>
        <v/>
      </c>
      <c r="C166" s="45" t="str">
        <f>FrontDesk_Log!O166</f>
        <v/>
      </c>
      <c r="D166" s="45" t="str">
        <f t="shared" si="1"/>
        <v/>
      </c>
      <c r="E166" s="45" t="str">
        <f>FrontDesk_Log!P166</f>
        <v/>
      </c>
      <c r="F166" s="48" t="str">
        <f>FrontDesk_Log!Q166</f>
        <v/>
      </c>
      <c r="G166" s="51" t="str">
        <f>FrontDesk_Log!S166</f>
        <v/>
      </c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45" t="str">
        <f>FrontDesk_Log!C167</f>
        <v/>
      </c>
      <c r="B167" s="48" t="str">
        <f>FrontDesk_Log!N167</f>
        <v/>
      </c>
      <c r="C167" s="45" t="str">
        <f>FrontDesk_Log!O167</f>
        <v/>
      </c>
      <c r="D167" s="45" t="str">
        <f t="shared" si="1"/>
        <v/>
      </c>
      <c r="E167" s="45" t="str">
        <f>FrontDesk_Log!P167</f>
        <v/>
      </c>
      <c r="F167" s="48" t="str">
        <f>FrontDesk_Log!Q167</f>
        <v/>
      </c>
      <c r="G167" s="51" t="str">
        <f>FrontDesk_Log!S167</f>
        <v/>
      </c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45" t="str">
        <f>FrontDesk_Log!C168</f>
        <v/>
      </c>
      <c r="B168" s="48" t="str">
        <f>FrontDesk_Log!N168</f>
        <v/>
      </c>
      <c r="C168" s="45" t="str">
        <f>FrontDesk_Log!O168</f>
        <v/>
      </c>
      <c r="D168" s="45" t="str">
        <f t="shared" si="1"/>
        <v/>
      </c>
      <c r="E168" s="45" t="str">
        <f>FrontDesk_Log!P168</f>
        <v/>
      </c>
      <c r="F168" s="48" t="str">
        <f>FrontDesk_Log!Q168</f>
        <v/>
      </c>
      <c r="G168" s="51" t="str">
        <f>FrontDesk_Log!S168</f>
        <v/>
      </c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45" t="str">
        <f>FrontDesk_Log!C169</f>
        <v/>
      </c>
      <c r="B169" s="48" t="str">
        <f>FrontDesk_Log!N169</f>
        <v/>
      </c>
      <c r="C169" s="45" t="str">
        <f>FrontDesk_Log!O169</f>
        <v/>
      </c>
      <c r="D169" s="45" t="str">
        <f t="shared" si="1"/>
        <v/>
      </c>
      <c r="E169" s="45" t="str">
        <f>FrontDesk_Log!P169</f>
        <v/>
      </c>
      <c r="F169" s="48" t="str">
        <f>FrontDesk_Log!Q169</f>
        <v/>
      </c>
      <c r="G169" s="51" t="str">
        <f>FrontDesk_Log!S169</f>
        <v/>
      </c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45" t="str">
        <f>FrontDesk_Log!C170</f>
        <v/>
      </c>
      <c r="B170" s="48" t="str">
        <f>FrontDesk_Log!N170</f>
        <v/>
      </c>
      <c r="C170" s="45" t="str">
        <f>FrontDesk_Log!O170</f>
        <v/>
      </c>
      <c r="D170" s="45" t="str">
        <f t="shared" si="1"/>
        <v/>
      </c>
      <c r="E170" s="45" t="str">
        <f>FrontDesk_Log!P170</f>
        <v/>
      </c>
      <c r="F170" s="48" t="str">
        <f>FrontDesk_Log!Q170</f>
        <v/>
      </c>
      <c r="G170" s="51" t="str">
        <f>FrontDesk_Log!S170</f>
        <v/>
      </c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45" t="str">
        <f>FrontDesk_Log!C171</f>
        <v/>
      </c>
      <c r="B171" s="48" t="str">
        <f>FrontDesk_Log!N171</f>
        <v/>
      </c>
      <c r="C171" s="45" t="str">
        <f>FrontDesk_Log!O171</f>
        <v/>
      </c>
      <c r="D171" s="45" t="str">
        <f t="shared" si="1"/>
        <v/>
      </c>
      <c r="E171" s="45" t="str">
        <f>FrontDesk_Log!P171</f>
        <v/>
      </c>
      <c r="F171" s="48" t="str">
        <f>FrontDesk_Log!Q171</f>
        <v/>
      </c>
      <c r="G171" s="51" t="str">
        <f>FrontDesk_Log!S171</f>
        <v/>
      </c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45" t="str">
        <f>FrontDesk_Log!C172</f>
        <v/>
      </c>
      <c r="B172" s="48" t="str">
        <f>FrontDesk_Log!N172</f>
        <v/>
      </c>
      <c r="C172" s="45" t="str">
        <f>FrontDesk_Log!O172</f>
        <v/>
      </c>
      <c r="D172" s="45" t="str">
        <f t="shared" si="1"/>
        <v/>
      </c>
      <c r="E172" s="45" t="str">
        <f>FrontDesk_Log!P172</f>
        <v/>
      </c>
      <c r="F172" s="48" t="str">
        <f>FrontDesk_Log!Q172</f>
        <v/>
      </c>
      <c r="G172" s="51" t="str">
        <f>FrontDesk_Log!S172</f>
        <v/>
      </c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45" t="str">
        <f>FrontDesk_Log!C173</f>
        <v/>
      </c>
      <c r="B173" s="48" t="str">
        <f>FrontDesk_Log!N173</f>
        <v/>
      </c>
      <c r="C173" s="45" t="str">
        <f>FrontDesk_Log!O173</f>
        <v/>
      </c>
      <c r="D173" s="45" t="str">
        <f t="shared" si="1"/>
        <v/>
      </c>
      <c r="E173" s="45" t="str">
        <f>FrontDesk_Log!P173</f>
        <v/>
      </c>
      <c r="F173" s="48" t="str">
        <f>FrontDesk_Log!Q173</f>
        <v/>
      </c>
      <c r="G173" s="51" t="str">
        <f>FrontDesk_Log!S173</f>
        <v/>
      </c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45" t="str">
        <f>FrontDesk_Log!C174</f>
        <v/>
      </c>
      <c r="B174" s="48" t="str">
        <f>FrontDesk_Log!N174</f>
        <v/>
      </c>
      <c r="C174" s="45" t="str">
        <f>FrontDesk_Log!O174</f>
        <v/>
      </c>
      <c r="D174" s="45" t="str">
        <f t="shared" si="1"/>
        <v/>
      </c>
      <c r="E174" s="45" t="str">
        <f>FrontDesk_Log!P174</f>
        <v/>
      </c>
      <c r="F174" s="48" t="str">
        <f>FrontDesk_Log!Q174</f>
        <v/>
      </c>
      <c r="G174" s="51" t="str">
        <f>FrontDesk_Log!S174</f>
        <v/>
      </c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45" t="str">
        <f>FrontDesk_Log!C175</f>
        <v/>
      </c>
      <c r="B175" s="48" t="str">
        <f>FrontDesk_Log!N175</f>
        <v/>
      </c>
      <c r="C175" s="45" t="str">
        <f>FrontDesk_Log!O175</f>
        <v/>
      </c>
      <c r="D175" s="45" t="str">
        <f t="shared" si="1"/>
        <v/>
      </c>
      <c r="E175" s="45" t="str">
        <f>FrontDesk_Log!P175</f>
        <v/>
      </c>
      <c r="F175" s="48" t="str">
        <f>FrontDesk_Log!Q175</f>
        <v/>
      </c>
      <c r="G175" s="51" t="str">
        <f>FrontDesk_Log!S175</f>
        <v/>
      </c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45" t="str">
        <f>FrontDesk_Log!C176</f>
        <v/>
      </c>
      <c r="B176" s="48" t="str">
        <f>FrontDesk_Log!N176</f>
        <v/>
      </c>
      <c r="C176" s="45" t="str">
        <f>FrontDesk_Log!O176</f>
        <v/>
      </c>
      <c r="D176" s="45" t="str">
        <f t="shared" si="1"/>
        <v/>
      </c>
      <c r="E176" s="45" t="str">
        <f>FrontDesk_Log!P176</f>
        <v/>
      </c>
      <c r="F176" s="48" t="str">
        <f>FrontDesk_Log!Q176</f>
        <v/>
      </c>
      <c r="G176" s="51" t="str">
        <f>FrontDesk_Log!S176</f>
        <v/>
      </c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45" t="str">
        <f>FrontDesk_Log!C177</f>
        <v/>
      </c>
      <c r="B177" s="48" t="str">
        <f>FrontDesk_Log!N177</f>
        <v/>
      </c>
      <c r="C177" s="45" t="str">
        <f>FrontDesk_Log!O177</f>
        <v/>
      </c>
      <c r="D177" s="45" t="str">
        <f t="shared" si="1"/>
        <v/>
      </c>
      <c r="E177" s="45" t="str">
        <f>FrontDesk_Log!P177</f>
        <v/>
      </c>
      <c r="F177" s="48" t="str">
        <f>FrontDesk_Log!Q177</f>
        <v/>
      </c>
      <c r="G177" s="51" t="str">
        <f>FrontDesk_Log!S177</f>
        <v/>
      </c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45" t="str">
        <f>FrontDesk_Log!C178</f>
        <v/>
      </c>
      <c r="B178" s="48" t="str">
        <f>FrontDesk_Log!N178</f>
        <v/>
      </c>
      <c r="C178" s="45" t="str">
        <f>FrontDesk_Log!O178</f>
        <v/>
      </c>
      <c r="D178" s="45" t="str">
        <f t="shared" si="1"/>
        <v/>
      </c>
      <c r="E178" s="45" t="str">
        <f>FrontDesk_Log!P178</f>
        <v/>
      </c>
      <c r="F178" s="48" t="str">
        <f>FrontDesk_Log!Q178</f>
        <v/>
      </c>
      <c r="G178" s="51" t="str">
        <f>FrontDesk_Log!S178</f>
        <v/>
      </c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45" t="str">
        <f>FrontDesk_Log!C179</f>
        <v/>
      </c>
      <c r="B179" s="48" t="str">
        <f>FrontDesk_Log!N179</f>
        <v/>
      </c>
      <c r="C179" s="45" t="str">
        <f>FrontDesk_Log!O179</f>
        <v/>
      </c>
      <c r="D179" s="45" t="str">
        <f t="shared" si="1"/>
        <v/>
      </c>
      <c r="E179" s="45" t="str">
        <f>FrontDesk_Log!P179</f>
        <v/>
      </c>
      <c r="F179" s="48" t="str">
        <f>FrontDesk_Log!Q179</f>
        <v/>
      </c>
      <c r="G179" s="51" t="str">
        <f>FrontDesk_Log!S179</f>
        <v/>
      </c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45" t="str">
        <f>FrontDesk_Log!C180</f>
        <v/>
      </c>
      <c r="B180" s="48" t="str">
        <f>FrontDesk_Log!N180</f>
        <v/>
      </c>
      <c r="C180" s="45" t="str">
        <f>FrontDesk_Log!O180</f>
        <v/>
      </c>
      <c r="D180" s="45" t="str">
        <f t="shared" si="1"/>
        <v/>
      </c>
      <c r="E180" s="45" t="str">
        <f>FrontDesk_Log!P180</f>
        <v/>
      </c>
      <c r="F180" s="48" t="str">
        <f>FrontDesk_Log!Q180</f>
        <v/>
      </c>
      <c r="G180" s="51" t="str">
        <f>FrontDesk_Log!S180</f>
        <v/>
      </c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45" t="str">
        <f>FrontDesk_Log!C181</f>
        <v/>
      </c>
      <c r="B181" s="48" t="str">
        <f>FrontDesk_Log!N181</f>
        <v/>
      </c>
      <c r="C181" s="45" t="str">
        <f>FrontDesk_Log!O181</f>
        <v/>
      </c>
      <c r="D181" s="45" t="str">
        <f t="shared" si="1"/>
        <v/>
      </c>
      <c r="E181" s="45" t="str">
        <f>FrontDesk_Log!P181</f>
        <v/>
      </c>
      <c r="F181" s="48" t="str">
        <f>FrontDesk_Log!Q181</f>
        <v/>
      </c>
      <c r="G181" s="51" t="str">
        <f>FrontDesk_Log!S181</f>
        <v/>
      </c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45" t="str">
        <f>FrontDesk_Log!C182</f>
        <v/>
      </c>
      <c r="B182" s="48" t="str">
        <f>FrontDesk_Log!N182</f>
        <v/>
      </c>
      <c r="C182" s="45" t="str">
        <f>FrontDesk_Log!O182</f>
        <v/>
      </c>
      <c r="D182" s="45" t="str">
        <f t="shared" si="1"/>
        <v/>
      </c>
      <c r="E182" s="45" t="str">
        <f>FrontDesk_Log!P182</f>
        <v/>
      </c>
      <c r="F182" s="48" t="str">
        <f>FrontDesk_Log!Q182</f>
        <v/>
      </c>
      <c r="G182" s="51" t="str">
        <f>FrontDesk_Log!S182</f>
        <v/>
      </c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45" t="str">
        <f>FrontDesk_Log!C183</f>
        <v/>
      </c>
      <c r="B183" s="48" t="str">
        <f>FrontDesk_Log!N183</f>
        <v/>
      </c>
      <c r="C183" s="45" t="str">
        <f>FrontDesk_Log!O183</f>
        <v/>
      </c>
      <c r="D183" s="45" t="str">
        <f t="shared" si="1"/>
        <v/>
      </c>
      <c r="E183" s="45" t="str">
        <f>FrontDesk_Log!P183</f>
        <v/>
      </c>
      <c r="F183" s="48" t="str">
        <f>FrontDesk_Log!Q183</f>
        <v/>
      </c>
      <c r="G183" s="51" t="str">
        <f>FrontDesk_Log!S183</f>
        <v/>
      </c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45" t="str">
        <f>FrontDesk_Log!C184</f>
        <v/>
      </c>
      <c r="B184" s="48" t="str">
        <f>FrontDesk_Log!N184</f>
        <v/>
      </c>
      <c r="C184" s="45" t="str">
        <f>FrontDesk_Log!O184</f>
        <v/>
      </c>
      <c r="D184" s="45" t="str">
        <f t="shared" si="1"/>
        <v/>
      </c>
      <c r="E184" s="45" t="str">
        <f>FrontDesk_Log!P184</f>
        <v/>
      </c>
      <c r="F184" s="48" t="str">
        <f>FrontDesk_Log!Q184</f>
        <v/>
      </c>
      <c r="G184" s="51" t="str">
        <f>FrontDesk_Log!S184</f>
        <v/>
      </c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45" t="str">
        <f>FrontDesk_Log!C185</f>
        <v/>
      </c>
      <c r="B185" s="48" t="str">
        <f>FrontDesk_Log!N185</f>
        <v/>
      </c>
      <c r="C185" s="45" t="str">
        <f>FrontDesk_Log!O185</f>
        <v/>
      </c>
      <c r="D185" s="45" t="str">
        <f t="shared" si="1"/>
        <v/>
      </c>
      <c r="E185" s="45" t="str">
        <f>FrontDesk_Log!P185</f>
        <v/>
      </c>
      <c r="F185" s="48" t="str">
        <f>FrontDesk_Log!Q185</f>
        <v/>
      </c>
      <c r="G185" s="51" t="str">
        <f>FrontDesk_Log!S185</f>
        <v/>
      </c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45" t="str">
        <f>FrontDesk_Log!C186</f>
        <v/>
      </c>
      <c r="B186" s="48" t="str">
        <f>FrontDesk_Log!N186</f>
        <v/>
      </c>
      <c r="C186" s="45" t="str">
        <f>FrontDesk_Log!O186</f>
        <v/>
      </c>
      <c r="D186" s="45" t="str">
        <f t="shared" si="1"/>
        <v/>
      </c>
      <c r="E186" s="45" t="str">
        <f>FrontDesk_Log!P186</f>
        <v/>
      </c>
      <c r="F186" s="48" t="str">
        <f>FrontDesk_Log!Q186</f>
        <v/>
      </c>
      <c r="G186" s="51" t="str">
        <f>FrontDesk_Log!S186</f>
        <v/>
      </c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45" t="str">
        <f>FrontDesk_Log!C187</f>
        <v/>
      </c>
      <c r="B187" s="48" t="str">
        <f>FrontDesk_Log!N187</f>
        <v/>
      </c>
      <c r="C187" s="45" t="str">
        <f>FrontDesk_Log!O187</f>
        <v/>
      </c>
      <c r="D187" s="45" t="str">
        <f t="shared" si="1"/>
        <v/>
      </c>
      <c r="E187" s="45" t="str">
        <f>FrontDesk_Log!P187</f>
        <v/>
      </c>
      <c r="F187" s="48" t="str">
        <f>FrontDesk_Log!Q187</f>
        <v/>
      </c>
      <c r="G187" s="51" t="str">
        <f>FrontDesk_Log!S187</f>
        <v/>
      </c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45" t="str">
        <f>FrontDesk_Log!C188</f>
        <v/>
      </c>
      <c r="B188" s="48" t="str">
        <f>FrontDesk_Log!N188</f>
        <v/>
      </c>
      <c r="C188" s="45" t="str">
        <f>FrontDesk_Log!O188</f>
        <v/>
      </c>
      <c r="D188" s="45" t="str">
        <f t="shared" si="1"/>
        <v/>
      </c>
      <c r="E188" s="45" t="str">
        <f>FrontDesk_Log!P188</f>
        <v/>
      </c>
      <c r="F188" s="48" t="str">
        <f>FrontDesk_Log!Q188</f>
        <v/>
      </c>
      <c r="G188" s="51" t="str">
        <f>FrontDesk_Log!S188</f>
        <v/>
      </c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45" t="str">
        <f>FrontDesk_Log!C189</f>
        <v/>
      </c>
      <c r="B189" s="48" t="str">
        <f>FrontDesk_Log!N189</f>
        <v/>
      </c>
      <c r="C189" s="45" t="str">
        <f>FrontDesk_Log!O189</f>
        <v/>
      </c>
      <c r="D189" s="45" t="str">
        <f t="shared" si="1"/>
        <v/>
      </c>
      <c r="E189" s="45" t="str">
        <f>FrontDesk_Log!P189</f>
        <v/>
      </c>
      <c r="F189" s="48" t="str">
        <f>FrontDesk_Log!Q189</f>
        <v/>
      </c>
      <c r="G189" s="51" t="str">
        <f>FrontDesk_Log!S189</f>
        <v/>
      </c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45" t="str">
        <f>FrontDesk_Log!C190</f>
        <v/>
      </c>
      <c r="B190" s="48" t="str">
        <f>FrontDesk_Log!N190</f>
        <v/>
      </c>
      <c r="C190" s="45" t="str">
        <f>FrontDesk_Log!O190</f>
        <v/>
      </c>
      <c r="D190" s="45" t="str">
        <f t="shared" si="1"/>
        <v/>
      </c>
      <c r="E190" s="45" t="str">
        <f>FrontDesk_Log!P190</f>
        <v/>
      </c>
      <c r="F190" s="48" t="str">
        <f>FrontDesk_Log!Q190</f>
        <v/>
      </c>
      <c r="G190" s="51" t="str">
        <f>FrontDesk_Log!S190</f>
        <v/>
      </c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45" t="str">
        <f>FrontDesk_Log!C191</f>
        <v/>
      </c>
      <c r="B191" s="48" t="str">
        <f>FrontDesk_Log!N191</f>
        <v/>
      </c>
      <c r="C191" s="45" t="str">
        <f>FrontDesk_Log!O191</f>
        <v/>
      </c>
      <c r="D191" s="45" t="str">
        <f t="shared" si="1"/>
        <v/>
      </c>
      <c r="E191" s="45" t="str">
        <f>FrontDesk_Log!P191</f>
        <v/>
      </c>
      <c r="F191" s="48" t="str">
        <f>FrontDesk_Log!Q191</f>
        <v/>
      </c>
      <c r="G191" s="51" t="str">
        <f>FrontDesk_Log!S191</f>
        <v/>
      </c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45" t="str">
        <f>FrontDesk_Log!C192</f>
        <v/>
      </c>
      <c r="B192" s="48" t="str">
        <f>FrontDesk_Log!N192</f>
        <v/>
      </c>
      <c r="C192" s="45" t="str">
        <f>FrontDesk_Log!O192</f>
        <v/>
      </c>
      <c r="D192" s="45" t="str">
        <f t="shared" si="1"/>
        <v/>
      </c>
      <c r="E192" s="45" t="str">
        <f>FrontDesk_Log!P192</f>
        <v/>
      </c>
      <c r="F192" s="48" t="str">
        <f>FrontDesk_Log!Q192</f>
        <v/>
      </c>
      <c r="G192" s="51" t="str">
        <f>FrontDesk_Log!S192</f>
        <v/>
      </c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45" t="str">
        <f>FrontDesk_Log!C193</f>
        <v/>
      </c>
      <c r="B193" s="48" t="str">
        <f>FrontDesk_Log!N193</f>
        <v/>
      </c>
      <c r="C193" s="45" t="str">
        <f>FrontDesk_Log!O193</f>
        <v/>
      </c>
      <c r="D193" s="45" t="str">
        <f t="shared" si="1"/>
        <v/>
      </c>
      <c r="E193" s="45" t="str">
        <f>FrontDesk_Log!P193</f>
        <v/>
      </c>
      <c r="F193" s="48" t="str">
        <f>FrontDesk_Log!Q193</f>
        <v/>
      </c>
      <c r="G193" s="51" t="str">
        <f>FrontDesk_Log!S193</f>
        <v/>
      </c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45" t="str">
        <f>FrontDesk_Log!C194</f>
        <v/>
      </c>
      <c r="B194" s="48" t="str">
        <f>FrontDesk_Log!N194</f>
        <v/>
      </c>
      <c r="C194" s="45" t="str">
        <f>FrontDesk_Log!O194</f>
        <v/>
      </c>
      <c r="D194" s="45" t="str">
        <f t="shared" si="1"/>
        <v/>
      </c>
      <c r="E194" s="45" t="str">
        <f>FrontDesk_Log!P194</f>
        <v/>
      </c>
      <c r="F194" s="48" t="str">
        <f>FrontDesk_Log!Q194</f>
        <v/>
      </c>
      <c r="G194" s="51" t="str">
        <f>FrontDesk_Log!S194</f>
        <v/>
      </c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45" t="str">
        <f>FrontDesk_Log!C195</f>
        <v/>
      </c>
      <c r="B195" s="48" t="str">
        <f>FrontDesk_Log!N195</f>
        <v/>
      </c>
      <c r="C195" s="45" t="str">
        <f>FrontDesk_Log!O195</f>
        <v/>
      </c>
      <c r="D195" s="45" t="str">
        <f t="shared" si="1"/>
        <v/>
      </c>
      <c r="E195" s="45" t="str">
        <f>FrontDesk_Log!P195</f>
        <v/>
      </c>
      <c r="F195" s="48" t="str">
        <f>FrontDesk_Log!Q195</f>
        <v/>
      </c>
      <c r="G195" s="51" t="str">
        <f>FrontDesk_Log!S195</f>
        <v/>
      </c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45" t="str">
        <f>FrontDesk_Log!C196</f>
        <v/>
      </c>
      <c r="B196" s="48" t="str">
        <f>FrontDesk_Log!N196</f>
        <v/>
      </c>
      <c r="C196" s="45" t="str">
        <f>FrontDesk_Log!O196</f>
        <v/>
      </c>
      <c r="D196" s="45" t="str">
        <f t="shared" si="1"/>
        <v/>
      </c>
      <c r="E196" s="45" t="str">
        <f>FrontDesk_Log!P196</f>
        <v/>
      </c>
      <c r="F196" s="48" t="str">
        <f>FrontDesk_Log!Q196</f>
        <v/>
      </c>
      <c r="G196" s="51" t="str">
        <f>FrontDesk_Log!S196</f>
        <v/>
      </c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45" t="str">
        <f>FrontDesk_Log!C197</f>
        <v/>
      </c>
      <c r="B197" s="48" t="str">
        <f>FrontDesk_Log!N197</f>
        <v/>
      </c>
      <c r="C197" s="45" t="str">
        <f>FrontDesk_Log!O197</f>
        <v/>
      </c>
      <c r="D197" s="45" t="str">
        <f t="shared" si="1"/>
        <v/>
      </c>
      <c r="E197" s="45" t="str">
        <f>FrontDesk_Log!P197</f>
        <v/>
      </c>
      <c r="F197" s="48" t="str">
        <f>FrontDesk_Log!Q197</f>
        <v/>
      </c>
      <c r="G197" s="51" t="str">
        <f>FrontDesk_Log!S197</f>
        <v/>
      </c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45" t="str">
        <f>FrontDesk_Log!C198</f>
        <v/>
      </c>
      <c r="B198" s="48" t="str">
        <f>FrontDesk_Log!N198</f>
        <v/>
      </c>
      <c r="C198" s="45" t="str">
        <f>FrontDesk_Log!O198</f>
        <v/>
      </c>
      <c r="D198" s="45" t="str">
        <f t="shared" si="1"/>
        <v/>
      </c>
      <c r="E198" s="45" t="str">
        <f>FrontDesk_Log!P198</f>
        <v/>
      </c>
      <c r="F198" s="48" t="str">
        <f>FrontDesk_Log!Q198</f>
        <v/>
      </c>
      <c r="G198" s="51" t="str">
        <f>FrontDesk_Log!S198</f>
        <v/>
      </c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45" t="str">
        <f>FrontDesk_Log!C199</f>
        <v/>
      </c>
      <c r="B199" s="48" t="str">
        <f>FrontDesk_Log!N199</f>
        <v/>
      </c>
      <c r="C199" s="45" t="str">
        <f>FrontDesk_Log!O199</f>
        <v/>
      </c>
      <c r="D199" s="45" t="str">
        <f t="shared" si="1"/>
        <v/>
      </c>
      <c r="E199" s="45" t="str">
        <f>FrontDesk_Log!P199</f>
        <v/>
      </c>
      <c r="F199" s="48" t="str">
        <f>FrontDesk_Log!Q199</f>
        <v/>
      </c>
      <c r="G199" s="51" t="str">
        <f>FrontDesk_Log!S199</f>
        <v/>
      </c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G1"/>
  </mergeCells>
  <conditionalFormatting sqref="A3:G199">
    <cfRule type="expression" dxfId="0" priority="1">
      <formula>$C3="Ready for cleaning"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0.0"/>
    <col customWidth="1" min="4" max="4" width="40.0"/>
    <col customWidth="1" min="5" max="5" width="12.0"/>
    <col customWidth="1" min="6" max="6" width="8.71"/>
  </cols>
  <sheetData>
    <row r="1">
      <c r="A1" s="72" t="s">
        <v>123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73" t="s">
        <v>2</v>
      </c>
      <c r="B3" s="73" t="s">
        <v>13</v>
      </c>
      <c r="C3" s="73" t="s">
        <v>124</v>
      </c>
      <c r="D3" s="73" t="s">
        <v>18</v>
      </c>
      <c r="E3" s="73" t="s">
        <v>125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5">
        <f>Housekeeping_Board!A3</f>
        <v>110</v>
      </c>
      <c r="B4" s="48">
        <f>Housekeeping_Board!B3</f>
        <v>46022.3109</v>
      </c>
      <c r="C4" s="45" t="str">
        <f>Housekeeping_Board!D3</f>
        <v>HIGH</v>
      </c>
      <c r="D4" s="51" t="str">
        <f>Housekeeping_Board!G3</f>
        <v/>
      </c>
      <c r="E4" s="45" t="str">
        <f>IF(Housekeeping_Board!C3="Ready for cleaning","No","")</f>
        <v/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5">
        <f>Housekeeping_Board!A4</f>
        <v>117</v>
      </c>
      <c r="B5" s="48">
        <f>Housekeeping_Board!B4</f>
        <v>46022.63949</v>
      </c>
      <c r="C5" s="45" t="str">
        <f>Housekeeping_Board!D4</f>
        <v>HIGH</v>
      </c>
      <c r="D5" s="51" t="str">
        <f>Housekeeping_Board!G4</f>
        <v/>
      </c>
      <c r="E5" s="45" t="str">
        <f>IF(Housekeeping_Board!C4="Ready for cleaning","No","")</f>
        <v/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45">
        <f>Housekeeping_Board!A5</f>
        <v>119</v>
      </c>
      <c r="B6" s="48">
        <f>Housekeeping_Board!B5</f>
        <v>46024.38885</v>
      </c>
      <c r="C6" s="45" t="str">
        <f>Housekeeping_Board!D5</f>
        <v>HIGH</v>
      </c>
      <c r="D6" s="51" t="str">
        <f>Housekeeping_Board!G5</f>
        <v/>
      </c>
      <c r="E6" s="45" t="str">
        <f>IF(Housekeeping_Board!C5="Ready for cleaning","No","")</f>
        <v/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5">
        <f>Housekeeping_Board!A6</f>
        <v>124</v>
      </c>
      <c r="B7" s="48" t="str">
        <f>Housekeeping_Board!B6</f>
        <v/>
      </c>
      <c r="C7" s="45" t="str">
        <f>Housekeeping_Board!D6</f>
        <v/>
      </c>
      <c r="D7" s="51" t="str">
        <f>Housekeeping_Board!G6</f>
        <v/>
      </c>
      <c r="E7" s="45" t="str">
        <f>IF(Housekeeping_Board!C6="Ready for cleaning","No","")</f>
        <v/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5">
        <f>Housekeeping_Board!A7</f>
        <v>107</v>
      </c>
      <c r="B8" s="48">
        <f>Housekeeping_Board!B7</f>
        <v>46024.26954</v>
      </c>
      <c r="C8" s="45" t="str">
        <f>Housekeeping_Board!D7</f>
        <v>HIGH</v>
      </c>
      <c r="D8" s="51" t="str">
        <f>Housekeeping_Board!G7</f>
        <v/>
      </c>
      <c r="E8" s="45" t="str">
        <f>IF(Housekeeping_Board!C7="Ready for cleaning","No","")</f>
        <v/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5">
        <f>Housekeeping_Board!A8</f>
        <v>110</v>
      </c>
      <c r="B9" s="48">
        <f>Housekeeping_Board!B8</f>
        <v>46024.26566</v>
      </c>
      <c r="C9" s="45" t="str">
        <f>Housekeeping_Board!D8</f>
        <v>HIGH</v>
      </c>
      <c r="D9" s="51" t="str">
        <f>Housekeeping_Board!G8</f>
        <v/>
      </c>
      <c r="E9" s="45" t="str">
        <f>IF(Housekeeping_Board!C8="Ready for cleaning","No","")</f>
        <v/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5">
        <f>Housekeeping_Board!A9</f>
        <v>120</v>
      </c>
      <c r="B10" s="48" t="str">
        <f>Housekeeping_Board!B9</f>
        <v/>
      </c>
      <c r="C10" s="45" t="str">
        <f>Housekeeping_Board!D9</f>
        <v/>
      </c>
      <c r="D10" s="51" t="str">
        <f>Housekeeping_Board!G9</f>
        <v/>
      </c>
      <c r="E10" s="45" t="str">
        <f>IF(Housekeeping_Board!C9="Ready for cleaning","No","")</f>
        <v/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5">
        <f>Housekeeping_Board!A10</f>
        <v>109</v>
      </c>
      <c r="B11" s="48">
        <f>Housekeeping_Board!B10</f>
        <v>46022.96424</v>
      </c>
      <c r="C11" s="45" t="str">
        <f>Housekeeping_Board!D10</f>
        <v>HIGH</v>
      </c>
      <c r="D11" s="51" t="str">
        <f>Housekeeping_Board!G10</f>
        <v/>
      </c>
      <c r="E11" s="45" t="str">
        <f>IF(Housekeeping_Board!C10="Ready for cleaning","No","")</f>
        <v/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5">
        <f>Housekeeping_Board!A11</f>
        <v>116</v>
      </c>
      <c r="B12" s="48">
        <f>Housekeeping_Board!B11</f>
        <v>46023.41319</v>
      </c>
      <c r="C12" s="45" t="str">
        <f>Housekeeping_Board!D11</f>
        <v>HIGH</v>
      </c>
      <c r="D12" s="51" t="str">
        <f>Housekeeping_Board!G11</f>
        <v/>
      </c>
      <c r="E12" s="45" t="str">
        <f>IF(Housekeeping_Board!C11="Ready for cleaning","No","")</f>
        <v/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5">
        <f>Housekeeping_Board!A12</f>
        <v>118</v>
      </c>
      <c r="B13" s="48">
        <f>Housekeeping_Board!B12</f>
        <v>46022.98584</v>
      </c>
      <c r="C13" s="45" t="str">
        <f>Housekeeping_Board!D12</f>
        <v>HIGH</v>
      </c>
      <c r="D13" s="51" t="str">
        <f>Housekeeping_Board!G12</f>
        <v/>
      </c>
      <c r="E13" s="45" t="str">
        <f>IF(Housekeeping_Board!C12="Ready for cleaning","No","")</f>
        <v/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5">
        <f>Housekeeping_Board!A13</f>
        <v>104</v>
      </c>
      <c r="B14" s="48">
        <f>Housekeeping_Board!B13</f>
        <v>46023.04587</v>
      </c>
      <c r="C14" s="45" t="str">
        <f>Housekeeping_Board!D13</f>
        <v>HIGH</v>
      </c>
      <c r="D14" s="51" t="str">
        <f>Housekeeping_Board!G13</f>
        <v/>
      </c>
      <c r="E14" s="45" t="str">
        <f>IF(Housekeeping_Board!C13="Ready for cleaning","No","")</f>
        <v/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5">
        <f>Housekeeping_Board!A14</f>
        <v>141</v>
      </c>
      <c r="B15" s="48">
        <f>Housekeeping_Board!B14</f>
        <v>46023.45128</v>
      </c>
      <c r="C15" s="45" t="str">
        <f>Housekeeping_Board!D14</f>
        <v>HIGH</v>
      </c>
      <c r="D15" s="51" t="str">
        <f>Housekeeping_Board!G14</f>
        <v/>
      </c>
      <c r="E15" s="45" t="str">
        <f>IF(Housekeeping_Board!C14="Ready for cleaning","No","")</f>
        <v/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5">
        <f>Housekeeping_Board!A15</f>
        <v>135</v>
      </c>
      <c r="B16" s="48" t="str">
        <f>Housekeeping_Board!B15</f>
        <v/>
      </c>
      <c r="C16" s="45" t="str">
        <f>Housekeeping_Board!D15</f>
        <v/>
      </c>
      <c r="D16" s="51" t="str">
        <f>Housekeeping_Board!G15</f>
        <v/>
      </c>
      <c r="E16" s="45" t="str">
        <f>IF(Housekeeping_Board!C15="Ready for cleaning","No","")</f>
        <v/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5">
        <f>Housekeeping_Board!A16</f>
        <v>141</v>
      </c>
      <c r="B17" s="48">
        <f>Housekeeping_Board!B16</f>
        <v>46023.93512</v>
      </c>
      <c r="C17" s="45" t="str">
        <f>Housekeeping_Board!D16</f>
        <v>HIGH</v>
      </c>
      <c r="D17" s="51" t="str">
        <f>Housekeeping_Board!G16</f>
        <v/>
      </c>
      <c r="E17" s="45" t="str">
        <f>IF(Housekeeping_Board!C16="Ready for cleaning","No","")</f>
        <v/>
      </c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45">
        <f>Housekeeping_Board!A17</f>
        <v>145</v>
      </c>
      <c r="B18" s="48" t="str">
        <f>Housekeeping_Board!B17</f>
        <v/>
      </c>
      <c r="C18" s="45" t="str">
        <f>Housekeeping_Board!D17</f>
        <v/>
      </c>
      <c r="D18" s="51" t="str">
        <f>Housekeeping_Board!G17</f>
        <v/>
      </c>
      <c r="E18" s="45" t="str">
        <f>IF(Housekeeping_Board!C17="Ready for cleaning","No","")</f>
        <v/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45">
        <f>Housekeeping_Board!A18</f>
        <v>109</v>
      </c>
      <c r="B19" s="48">
        <f>Housekeeping_Board!B18</f>
        <v>46024.51749</v>
      </c>
      <c r="C19" s="45" t="str">
        <f>Housekeeping_Board!D18</f>
        <v>HIGH</v>
      </c>
      <c r="D19" s="51" t="str">
        <f>Housekeeping_Board!G18</f>
        <v/>
      </c>
      <c r="E19" s="45" t="str">
        <f>IF(Housekeeping_Board!C18="Ready for cleaning","No","")</f>
        <v/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45">
        <f>Housekeeping_Board!A19</f>
        <v>146</v>
      </c>
      <c r="B20" s="48" t="str">
        <f>Housekeeping_Board!B19</f>
        <v/>
      </c>
      <c r="C20" s="45" t="str">
        <f>Housekeeping_Board!D19</f>
        <v/>
      </c>
      <c r="D20" s="51" t="str">
        <f>Housekeeping_Board!G19</f>
        <v/>
      </c>
      <c r="E20" s="45" t="str">
        <f>IF(Housekeeping_Board!C19="Ready for cleaning","No","")</f>
        <v/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45">
        <f>Housekeeping_Board!A20</f>
        <v>144</v>
      </c>
      <c r="B21" s="48">
        <f>Housekeeping_Board!B20</f>
        <v>46024.76579</v>
      </c>
      <c r="C21" s="45" t="str">
        <f>Housekeeping_Board!D20</f>
        <v>HIGH</v>
      </c>
      <c r="D21" s="51" t="str">
        <f>Housekeeping_Board!G20</f>
        <v/>
      </c>
      <c r="E21" s="45" t="str">
        <f>IF(Housekeeping_Board!C20="Ready for cleaning","No","")</f>
        <v>No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45">
        <f>Housekeeping_Board!A21</f>
        <v>107</v>
      </c>
      <c r="B22" s="48">
        <f>Housekeeping_Board!B21</f>
        <v>46024.76375</v>
      </c>
      <c r="C22" s="45" t="str">
        <f>Housekeeping_Board!D21</f>
        <v>HIGH</v>
      </c>
      <c r="D22" s="51" t="str">
        <f>Housekeeping_Board!G21</f>
        <v/>
      </c>
      <c r="E22" s="45" t="str">
        <f>IF(Housekeeping_Board!C21="Ready for cleaning","No","")</f>
        <v>No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45">
        <f>Housekeeping_Board!A22</f>
        <v>118</v>
      </c>
      <c r="B23" s="48">
        <f>Housekeeping_Board!B22</f>
        <v>46024.86634</v>
      </c>
      <c r="C23" s="45" t="str">
        <f>Housekeeping_Board!D22</f>
        <v>HIGH</v>
      </c>
      <c r="D23" s="51" t="str">
        <f>Housekeeping_Board!G22</f>
        <v/>
      </c>
      <c r="E23" s="45" t="str">
        <f>IF(Housekeeping_Board!C22="Ready for cleaning","No","")</f>
        <v>No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45">
        <f>Housekeeping_Board!A23</f>
        <v>111</v>
      </c>
      <c r="B24" s="48">
        <f>Housekeeping_Board!B23</f>
        <v>46025.02285</v>
      </c>
      <c r="C24" s="45" t="str">
        <f>Housekeeping_Board!D23</f>
        <v>HIGH</v>
      </c>
      <c r="D24" s="51" t="str">
        <f>Housekeeping_Board!G23</f>
        <v/>
      </c>
      <c r="E24" s="45" t="str">
        <f>IF(Housekeeping_Board!C23="Ready for cleaning","No","")</f>
        <v>No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45">
        <f>Housekeeping_Board!A24</f>
        <v>110</v>
      </c>
      <c r="B25" s="48" t="str">
        <f>Housekeeping_Board!B24</f>
        <v/>
      </c>
      <c r="C25" s="45" t="str">
        <f>Housekeeping_Board!D24</f>
        <v/>
      </c>
      <c r="D25" s="51" t="str">
        <f>Housekeeping_Board!G24</f>
        <v/>
      </c>
      <c r="E25" s="45" t="str">
        <f>IF(Housekeeping_Board!C24="Ready for cleaning","No","")</f>
        <v/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45" t="str">
        <f>Housekeeping_Board!A25</f>
        <v/>
      </c>
      <c r="B26" s="48" t="str">
        <f>Housekeeping_Board!B25</f>
        <v/>
      </c>
      <c r="C26" s="45" t="str">
        <f>Housekeeping_Board!D25</f>
        <v/>
      </c>
      <c r="D26" s="51" t="str">
        <f>Housekeeping_Board!G25</f>
        <v/>
      </c>
      <c r="E26" s="45" t="str">
        <f>IF(Housekeeping_Board!C25="Ready for cleaning","No","")</f>
        <v/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45" t="str">
        <f>Housekeeping_Board!A26</f>
        <v/>
      </c>
      <c r="B27" s="48" t="str">
        <f>Housekeeping_Board!B26</f>
        <v/>
      </c>
      <c r="C27" s="45" t="str">
        <f>Housekeeping_Board!D26</f>
        <v/>
      </c>
      <c r="D27" s="51" t="str">
        <f>Housekeeping_Board!G26</f>
        <v/>
      </c>
      <c r="E27" s="45" t="str">
        <f>IF(Housekeeping_Board!C26="Ready for cleaning","No","")</f>
        <v/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45" t="str">
        <f>Housekeeping_Board!A27</f>
        <v/>
      </c>
      <c r="B28" s="48" t="str">
        <f>Housekeeping_Board!B27</f>
        <v/>
      </c>
      <c r="C28" s="45" t="str">
        <f>Housekeeping_Board!D27</f>
        <v/>
      </c>
      <c r="D28" s="51" t="str">
        <f>Housekeeping_Board!G27</f>
        <v/>
      </c>
      <c r="E28" s="45" t="str">
        <f>IF(Housekeeping_Board!C27="Ready for cleaning","No","")</f>
        <v/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45" t="str">
        <f>Housekeeping_Board!A28</f>
        <v/>
      </c>
      <c r="B29" s="48" t="str">
        <f>Housekeeping_Board!B28</f>
        <v/>
      </c>
      <c r="C29" s="45" t="str">
        <f>Housekeeping_Board!D28</f>
        <v/>
      </c>
      <c r="D29" s="51" t="str">
        <f>Housekeeping_Board!G28</f>
        <v/>
      </c>
      <c r="E29" s="45" t="str">
        <f>IF(Housekeeping_Board!C28="Ready for cleaning","No","")</f>
        <v/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45" t="str">
        <f>Housekeeping_Board!A29</f>
        <v/>
      </c>
      <c r="B30" s="48" t="str">
        <f>Housekeeping_Board!B29</f>
        <v/>
      </c>
      <c r="C30" s="45" t="str">
        <f>Housekeeping_Board!D29</f>
        <v/>
      </c>
      <c r="D30" s="51" t="str">
        <f>Housekeeping_Board!G29</f>
        <v/>
      </c>
      <c r="E30" s="45" t="str">
        <f>IF(Housekeeping_Board!C29="Ready for cleaning","No","")</f>
        <v/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45" t="str">
        <f>Housekeeping_Board!A30</f>
        <v/>
      </c>
      <c r="B31" s="48" t="str">
        <f>Housekeeping_Board!B30</f>
        <v/>
      </c>
      <c r="C31" s="45" t="str">
        <f>Housekeeping_Board!D30</f>
        <v/>
      </c>
      <c r="D31" s="51" t="str">
        <f>Housekeeping_Board!G30</f>
        <v/>
      </c>
      <c r="E31" s="45" t="str">
        <f>IF(Housekeeping_Board!C30="Ready for cleaning","No","")</f>
        <v/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45" t="str">
        <f>Housekeeping_Board!A31</f>
        <v/>
      </c>
      <c r="B32" s="48" t="str">
        <f>Housekeeping_Board!B31</f>
        <v/>
      </c>
      <c r="C32" s="45" t="str">
        <f>Housekeeping_Board!D31</f>
        <v/>
      </c>
      <c r="D32" s="51" t="str">
        <f>Housekeeping_Board!G31</f>
        <v/>
      </c>
      <c r="E32" s="45" t="str">
        <f>IF(Housekeeping_Board!C31="Ready for cleaning","No","")</f>
        <v/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45" t="str">
        <f>Housekeeping_Board!A32</f>
        <v/>
      </c>
      <c r="B33" s="48" t="str">
        <f>Housekeeping_Board!B32</f>
        <v/>
      </c>
      <c r="C33" s="45" t="str">
        <f>Housekeeping_Board!D32</f>
        <v/>
      </c>
      <c r="D33" s="51" t="str">
        <f>Housekeeping_Board!G32</f>
        <v/>
      </c>
      <c r="E33" s="45" t="str">
        <f>IF(Housekeeping_Board!C32="Ready for cleaning","No","")</f>
        <v/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45" t="str">
        <f>Housekeeping_Board!A33</f>
        <v/>
      </c>
      <c r="B34" s="48" t="str">
        <f>Housekeeping_Board!B33</f>
        <v/>
      </c>
      <c r="C34" s="45" t="str">
        <f>Housekeeping_Board!D33</f>
        <v/>
      </c>
      <c r="D34" s="51" t="str">
        <f>Housekeeping_Board!G33</f>
        <v/>
      </c>
      <c r="E34" s="45" t="str">
        <f>IF(Housekeeping_Board!C33="Ready for cleaning","No","")</f>
        <v/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45" t="str">
        <f>Housekeeping_Board!A34</f>
        <v/>
      </c>
      <c r="B35" s="48" t="str">
        <f>Housekeeping_Board!B34</f>
        <v/>
      </c>
      <c r="C35" s="45" t="str">
        <f>Housekeeping_Board!D34</f>
        <v/>
      </c>
      <c r="D35" s="51" t="str">
        <f>Housekeeping_Board!G34</f>
        <v/>
      </c>
      <c r="E35" s="45" t="str">
        <f>IF(Housekeeping_Board!C34="Ready for cleaning","No","")</f>
        <v/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45" t="str">
        <f>Housekeeping_Board!A35</f>
        <v/>
      </c>
      <c r="B36" s="48" t="str">
        <f>Housekeeping_Board!B35</f>
        <v/>
      </c>
      <c r="C36" s="45" t="str">
        <f>Housekeeping_Board!D35</f>
        <v/>
      </c>
      <c r="D36" s="51" t="str">
        <f>Housekeeping_Board!G35</f>
        <v/>
      </c>
      <c r="E36" s="45" t="str">
        <f>IF(Housekeeping_Board!C35="Ready for cleaning","No","")</f>
        <v/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45" t="str">
        <f>Housekeeping_Board!A36</f>
        <v/>
      </c>
      <c r="B37" s="48" t="str">
        <f>Housekeeping_Board!B36</f>
        <v/>
      </c>
      <c r="C37" s="45" t="str">
        <f>Housekeeping_Board!D36</f>
        <v/>
      </c>
      <c r="D37" s="51" t="str">
        <f>Housekeeping_Board!G36</f>
        <v/>
      </c>
      <c r="E37" s="45" t="str">
        <f>IF(Housekeeping_Board!C36="Ready for cleaning","No","")</f>
        <v/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45" t="str">
        <f>Housekeeping_Board!A37</f>
        <v/>
      </c>
      <c r="B38" s="48" t="str">
        <f>Housekeeping_Board!B37</f>
        <v/>
      </c>
      <c r="C38" s="45" t="str">
        <f>Housekeeping_Board!D37</f>
        <v/>
      </c>
      <c r="D38" s="51" t="str">
        <f>Housekeeping_Board!G37</f>
        <v/>
      </c>
      <c r="E38" s="45" t="str">
        <f>IF(Housekeeping_Board!C37="Ready for cleaning","No","")</f>
        <v/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45" t="str">
        <f>Housekeeping_Board!A38</f>
        <v/>
      </c>
      <c r="B39" s="48" t="str">
        <f>Housekeeping_Board!B38</f>
        <v/>
      </c>
      <c r="C39" s="45" t="str">
        <f>Housekeeping_Board!D38</f>
        <v/>
      </c>
      <c r="D39" s="51" t="str">
        <f>Housekeeping_Board!G38</f>
        <v/>
      </c>
      <c r="E39" s="45" t="str">
        <f>IF(Housekeeping_Board!C38="Ready for cleaning","No","")</f>
        <v/>
      </c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45" t="str">
        <f>Housekeeping_Board!A39</f>
        <v/>
      </c>
      <c r="B40" s="48" t="str">
        <f>Housekeeping_Board!B39</f>
        <v/>
      </c>
      <c r="C40" s="45" t="str">
        <f>Housekeeping_Board!D39</f>
        <v/>
      </c>
      <c r="D40" s="51" t="str">
        <f>Housekeeping_Board!G39</f>
        <v/>
      </c>
      <c r="E40" s="45" t="str">
        <f>IF(Housekeeping_Board!C39="Ready for cleaning","No","")</f>
        <v/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45" t="str">
        <f>Housekeeping_Board!A40</f>
        <v/>
      </c>
      <c r="B41" s="48" t="str">
        <f>Housekeeping_Board!B40</f>
        <v/>
      </c>
      <c r="C41" s="45" t="str">
        <f>Housekeeping_Board!D40</f>
        <v/>
      </c>
      <c r="D41" s="51" t="str">
        <f>Housekeeping_Board!G40</f>
        <v/>
      </c>
      <c r="E41" s="45" t="str">
        <f>IF(Housekeeping_Board!C40="Ready for cleaning","No","")</f>
        <v/>
      </c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45" t="str">
        <f>Housekeeping_Board!A41</f>
        <v/>
      </c>
      <c r="B42" s="48" t="str">
        <f>Housekeeping_Board!B41</f>
        <v/>
      </c>
      <c r="C42" s="45" t="str">
        <f>Housekeeping_Board!D41</f>
        <v/>
      </c>
      <c r="D42" s="51" t="str">
        <f>Housekeeping_Board!G41</f>
        <v/>
      </c>
      <c r="E42" s="45" t="str">
        <f>IF(Housekeeping_Board!C41="Ready for cleaning","No","")</f>
        <v/>
      </c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45" t="str">
        <f>Housekeeping_Board!A42</f>
        <v/>
      </c>
      <c r="B43" s="48" t="str">
        <f>Housekeeping_Board!B42</f>
        <v/>
      </c>
      <c r="C43" s="45" t="str">
        <f>Housekeeping_Board!D42</f>
        <v/>
      </c>
      <c r="D43" s="51" t="str">
        <f>Housekeeping_Board!G42</f>
        <v/>
      </c>
      <c r="E43" s="45" t="str">
        <f>IF(Housekeeping_Board!C42="Ready for cleaning","No","")</f>
        <v/>
      </c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45" t="str">
        <f>Housekeeping_Board!A43</f>
        <v/>
      </c>
      <c r="B44" s="48" t="str">
        <f>Housekeeping_Board!B43</f>
        <v/>
      </c>
      <c r="C44" s="45" t="str">
        <f>Housekeeping_Board!D43</f>
        <v/>
      </c>
      <c r="D44" s="51" t="str">
        <f>Housekeeping_Board!G43</f>
        <v/>
      </c>
      <c r="E44" s="45" t="str">
        <f>IF(Housekeeping_Board!C43="Ready for cleaning","No","")</f>
        <v/>
      </c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45" t="str">
        <f>Housekeeping_Board!A44</f>
        <v/>
      </c>
      <c r="B45" s="48" t="str">
        <f>Housekeeping_Board!B44</f>
        <v/>
      </c>
      <c r="C45" s="45" t="str">
        <f>Housekeeping_Board!D44</f>
        <v/>
      </c>
      <c r="D45" s="51" t="str">
        <f>Housekeeping_Board!G44</f>
        <v/>
      </c>
      <c r="E45" s="45" t="str">
        <f>IF(Housekeeping_Board!C44="Ready for cleaning","No","")</f>
        <v/>
      </c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45" t="str">
        <f>Housekeeping_Board!A45</f>
        <v/>
      </c>
      <c r="B46" s="48" t="str">
        <f>Housekeeping_Board!B45</f>
        <v/>
      </c>
      <c r="C46" s="45" t="str">
        <f>Housekeeping_Board!D45</f>
        <v/>
      </c>
      <c r="D46" s="51" t="str">
        <f>Housekeeping_Board!G45</f>
        <v/>
      </c>
      <c r="E46" s="45" t="str">
        <f>IF(Housekeeping_Board!C45="Ready for cleaning","No","")</f>
        <v/>
      </c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45" t="str">
        <f>Housekeeping_Board!A46</f>
        <v/>
      </c>
      <c r="B47" s="48" t="str">
        <f>Housekeeping_Board!B46</f>
        <v/>
      </c>
      <c r="C47" s="45" t="str">
        <f>Housekeeping_Board!D46</f>
        <v/>
      </c>
      <c r="D47" s="51" t="str">
        <f>Housekeeping_Board!G46</f>
        <v/>
      </c>
      <c r="E47" s="45" t="str">
        <f>IF(Housekeeping_Board!C46="Ready for cleaning","No","")</f>
        <v/>
      </c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45" t="str">
        <f>Housekeeping_Board!A47</f>
        <v/>
      </c>
      <c r="B48" s="48" t="str">
        <f>Housekeeping_Board!B47</f>
        <v/>
      </c>
      <c r="C48" s="45" t="str">
        <f>Housekeeping_Board!D47</f>
        <v/>
      </c>
      <c r="D48" s="51" t="str">
        <f>Housekeeping_Board!G47</f>
        <v/>
      </c>
      <c r="E48" s="45" t="str">
        <f>IF(Housekeeping_Board!C47="Ready for cleaning","No","")</f>
        <v/>
      </c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45" t="str">
        <f>Housekeeping_Board!A48</f>
        <v/>
      </c>
      <c r="B49" s="48" t="str">
        <f>Housekeeping_Board!B48</f>
        <v/>
      </c>
      <c r="C49" s="45" t="str">
        <f>Housekeeping_Board!D48</f>
        <v/>
      </c>
      <c r="D49" s="51" t="str">
        <f>Housekeeping_Board!G48</f>
        <v/>
      </c>
      <c r="E49" s="45" t="str">
        <f>IF(Housekeeping_Board!C48="Ready for cleaning","No","")</f>
        <v/>
      </c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45" t="str">
        <f>Housekeeping_Board!A49</f>
        <v/>
      </c>
      <c r="B50" s="48" t="str">
        <f>Housekeeping_Board!B49</f>
        <v/>
      </c>
      <c r="C50" s="45" t="str">
        <f>Housekeeping_Board!D49</f>
        <v/>
      </c>
      <c r="D50" s="51" t="str">
        <f>Housekeeping_Board!G49</f>
        <v/>
      </c>
      <c r="E50" s="45" t="str">
        <f>IF(Housekeeping_Board!C49="Ready for cleaning","No","")</f>
        <v/>
      </c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45" t="str">
        <f>Housekeeping_Board!A50</f>
        <v/>
      </c>
      <c r="B51" s="48" t="str">
        <f>Housekeeping_Board!B50</f>
        <v/>
      </c>
      <c r="C51" s="45" t="str">
        <f>Housekeeping_Board!D50</f>
        <v/>
      </c>
      <c r="D51" s="51" t="str">
        <f>Housekeeping_Board!G50</f>
        <v/>
      </c>
      <c r="E51" s="45" t="str">
        <f>IF(Housekeeping_Board!C50="Ready for cleaning","No","")</f>
        <v/>
      </c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45" t="str">
        <f>Housekeeping_Board!A51</f>
        <v/>
      </c>
      <c r="B52" s="48" t="str">
        <f>Housekeeping_Board!B51</f>
        <v/>
      </c>
      <c r="C52" s="45" t="str">
        <f>Housekeeping_Board!D51</f>
        <v/>
      </c>
      <c r="D52" s="51" t="str">
        <f>Housekeeping_Board!G51</f>
        <v/>
      </c>
      <c r="E52" s="45" t="str">
        <f>IF(Housekeeping_Board!C51="Ready for cleaning","No","")</f>
        <v/>
      </c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45" t="str">
        <f>Housekeeping_Board!A52</f>
        <v/>
      </c>
      <c r="B53" s="48" t="str">
        <f>Housekeeping_Board!B52</f>
        <v/>
      </c>
      <c r="C53" s="45" t="str">
        <f>Housekeeping_Board!D52</f>
        <v/>
      </c>
      <c r="D53" s="51" t="str">
        <f>Housekeeping_Board!G52</f>
        <v/>
      </c>
      <c r="E53" s="45" t="str">
        <f>IF(Housekeeping_Board!C52="Ready for cleaning","No","")</f>
        <v/>
      </c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45" t="str">
        <f>Housekeeping_Board!A53</f>
        <v/>
      </c>
      <c r="B54" s="48" t="str">
        <f>Housekeeping_Board!B53</f>
        <v/>
      </c>
      <c r="C54" s="45" t="str">
        <f>Housekeeping_Board!D53</f>
        <v/>
      </c>
      <c r="D54" s="51" t="str">
        <f>Housekeeping_Board!G53</f>
        <v/>
      </c>
      <c r="E54" s="45" t="str">
        <f>IF(Housekeeping_Board!C53="Ready for cleaning","No","")</f>
        <v/>
      </c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45" t="str">
        <f>Housekeeping_Board!A54</f>
        <v/>
      </c>
      <c r="B55" s="48" t="str">
        <f>Housekeeping_Board!B54</f>
        <v/>
      </c>
      <c r="C55" s="45" t="str">
        <f>Housekeeping_Board!D54</f>
        <v/>
      </c>
      <c r="D55" s="51" t="str">
        <f>Housekeeping_Board!G54</f>
        <v/>
      </c>
      <c r="E55" s="45" t="str">
        <f>IF(Housekeeping_Board!C54="Ready for cleaning","No","")</f>
        <v/>
      </c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45" t="str">
        <f>Housekeeping_Board!A55</f>
        <v/>
      </c>
      <c r="B56" s="48" t="str">
        <f>Housekeeping_Board!B55</f>
        <v/>
      </c>
      <c r="C56" s="45" t="str">
        <f>Housekeeping_Board!D55</f>
        <v/>
      </c>
      <c r="D56" s="51" t="str">
        <f>Housekeeping_Board!G55</f>
        <v/>
      </c>
      <c r="E56" s="45" t="str">
        <f>IF(Housekeeping_Board!C55="Ready for cleaning","No","")</f>
        <v/>
      </c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45" t="str">
        <f>Housekeeping_Board!A56</f>
        <v/>
      </c>
      <c r="B57" s="48" t="str">
        <f>Housekeeping_Board!B56</f>
        <v/>
      </c>
      <c r="C57" s="45" t="str">
        <f>Housekeeping_Board!D56</f>
        <v/>
      </c>
      <c r="D57" s="51" t="str">
        <f>Housekeeping_Board!G56</f>
        <v/>
      </c>
      <c r="E57" s="45" t="str">
        <f>IF(Housekeeping_Board!C56="Ready for cleaning","No","")</f>
        <v/>
      </c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45" t="str">
        <f>Housekeeping_Board!A57</f>
        <v/>
      </c>
      <c r="B58" s="48" t="str">
        <f>Housekeeping_Board!B57</f>
        <v/>
      </c>
      <c r="C58" s="45" t="str">
        <f>Housekeeping_Board!D57</f>
        <v/>
      </c>
      <c r="D58" s="51" t="str">
        <f>Housekeeping_Board!G57</f>
        <v/>
      </c>
      <c r="E58" s="45" t="str">
        <f>IF(Housekeeping_Board!C57="Ready for cleaning","No","")</f>
        <v/>
      </c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45" t="str">
        <f>Housekeeping_Board!A58</f>
        <v/>
      </c>
      <c r="B59" s="48" t="str">
        <f>Housekeeping_Board!B58</f>
        <v/>
      </c>
      <c r="C59" s="45" t="str">
        <f>Housekeeping_Board!D58</f>
        <v/>
      </c>
      <c r="D59" s="51" t="str">
        <f>Housekeeping_Board!G58</f>
        <v/>
      </c>
      <c r="E59" s="45" t="str">
        <f>IF(Housekeeping_Board!C58="Ready for cleaning","No","")</f>
        <v/>
      </c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45" t="str">
        <f>Housekeeping_Board!A59</f>
        <v/>
      </c>
      <c r="B60" s="48" t="str">
        <f>Housekeeping_Board!B59</f>
        <v/>
      </c>
      <c r="C60" s="45" t="str">
        <f>Housekeeping_Board!D59</f>
        <v/>
      </c>
      <c r="D60" s="51" t="str">
        <f>Housekeeping_Board!G59</f>
        <v/>
      </c>
      <c r="E60" s="45" t="str">
        <f>IF(Housekeeping_Board!C59="Ready for cleaning","No","")</f>
        <v/>
      </c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45" t="str">
        <f>Housekeeping_Board!A60</f>
        <v/>
      </c>
      <c r="B61" s="48" t="str">
        <f>Housekeeping_Board!B60</f>
        <v/>
      </c>
      <c r="C61" s="45" t="str">
        <f>Housekeeping_Board!D60</f>
        <v/>
      </c>
      <c r="D61" s="51" t="str">
        <f>Housekeeping_Board!G60</f>
        <v/>
      </c>
      <c r="E61" s="45" t="str">
        <f>IF(Housekeeping_Board!C60="Ready for cleaning","No","")</f>
        <v/>
      </c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45" t="str">
        <f>Housekeeping_Board!A61</f>
        <v/>
      </c>
      <c r="B62" s="48" t="str">
        <f>Housekeeping_Board!B61</f>
        <v/>
      </c>
      <c r="C62" s="45" t="str">
        <f>Housekeeping_Board!D61</f>
        <v/>
      </c>
      <c r="D62" s="51" t="str">
        <f>Housekeeping_Board!G61</f>
        <v/>
      </c>
      <c r="E62" s="45" t="str">
        <f>IF(Housekeeping_Board!C61="Ready for cleaning","No","")</f>
        <v/>
      </c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45" t="str">
        <f>Housekeeping_Board!A62</f>
        <v/>
      </c>
      <c r="B63" s="48" t="str">
        <f>Housekeeping_Board!B62</f>
        <v/>
      </c>
      <c r="C63" s="45" t="str">
        <f>Housekeeping_Board!D62</f>
        <v/>
      </c>
      <c r="D63" s="51" t="str">
        <f>Housekeeping_Board!G62</f>
        <v/>
      </c>
      <c r="E63" s="45" t="str">
        <f>IF(Housekeeping_Board!C62="Ready for cleaning","No","")</f>
        <v/>
      </c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45" t="str">
        <f>Housekeeping_Board!A63</f>
        <v/>
      </c>
      <c r="B64" s="48" t="str">
        <f>Housekeeping_Board!B63</f>
        <v/>
      </c>
      <c r="C64" s="45" t="str">
        <f>Housekeeping_Board!D63</f>
        <v/>
      </c>
      <c r="D64" s="51" t="str">
        <f>Housekeeping_Board!G63</f>
        <v/>
      </c>
      <c r="E64" s="45" t="str">
        <f>IF(Housekeeping_Board!C63="Ready for cleaning","No","")</f>
        <v/>
      </c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45" t="str">
        <f>Housekeeping_Board!A64</f>
        <v/>
      </c>
      <c r="B65" s="48" t="str">
        <f>Housekeeping_Board!B64</f>
        <v/>
      </c>
      <c r="C65" s="45" t="str">
        <f>Housekeeping_Board!D64</f>
        <v/>
      </c>
      <c r="D65" s="51" t="str">
        <f>Housekeeping_Board!G64</f>
        <v/>
      </c>
      <c r="E65" s="45" t="str">
        <f>IF(Housekeeping_Board!C64="Ready for cleaning","No","")</f>
        <v/>
      </c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45" t="str">
        <f>Housekeeping_Board!A65</f>
        <v/>
      </c>
      <c r="B66" s="48" t="str">
        <f>Housekeeping_Board!B65</f>
        <v/>
      </c>
      <c r="C66" s="45" t="str">
        <f>Housekeeping_Board!D65</f>
        <v/>
      </c>
      <c r="D66" s="51" t="str">
        <f>Housekeeping_Board!G65</f>
        <v/>
      </c>
      <c r="E66" s="45" t="str">
        <f>IF(Housekeeping_Board!C65="Ready for cleaning","No","")</f>
        <v/>
      </c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45" t="str">
        <f>Housekeeping_Board!A66</f>
        <v/>
      </c>
      <c r="B67" s="48" t="str">
        <f>Housekeeping_Board!B66</f>
        <v/>
      </c>
      <c r="C67" s="45" t="str">
        <f>Housekeeping_Board!D66</f>
        <v/>
      </c>
      <c r="D67" s="51" t="str">
        <f>Housekeeping_Board!G66</f>
        <v/>
      </c>
      <c r="E67" s="45" t="str">
        <f>IF(Housekeeping_Board!C66="Ready for cleaning","No","")</f>
        <v/>
      </c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45" t="str">
        <f>Housekeeping_Board!A67</f>
        <v/>
      </c>
      <c r="B68" s="48" t="str">
        <f>Housekeeping_Board!B67</f>
        <v/>
      </c>
      <c r="C68" s="45" t="str">
        <f>Housekeeping_Board!D67</f>
        <v/>
      </c>
      <c r="D68" s="51" t="str">
        <f>Housekeeping_Board!G67</f>
        <v/>
      </c>
      <c r="E68" s="45" t="str">
        <f>IF(Housekeeping_Board!C67="Ready for cleaning","No","")</f>
        <v/>
      </c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45" t="str">
        <f>Housekeeping_Board!A68</f>
        <v/>
      </c>
      <c r="B69" s="48" t="str">
        <f>Housekeeping_Board!B68</f>
        <v/>
      </c>
      <c r="C69" s="45" t="str">
        <f>Housekeeping_Board!D68</f>
        <v/>
      </c>
      <c r="D69" s="51" t="str">
        <f>Housekeeping_Board!G68</f>
        <v/>
      </c>
      <c r="E69" s="45" t="str">
        <f>IF(Housekeeping_Board!C68="Ready for cleaning","No","")</f>
        <v/>
      </c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45" t="str">
        <f>Housekeeping_Board!A69</f>
        <v/>
      </c>
      <c r="B70" s="48" t="str">
        <f>Housekeeping_Board!B69</f>
        <v/>
      </c>
      <c r="C70" s="45" t="str">
        <f>Housekeeping_Board!D69</f>
        <v/>
      </c>
      <c r="D70" s="51" t="str">
        <f>Housekeeping_Board!G69</f>
        <v/>
      </c>
      <c r="E70" s="45" t="str">
        <f>IF(Housekeeping_Board!C69="Ready for cleaning","No","")</f>
        <v/>
      </c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45" t="str">
        <f>Housekeeping_Board!A70</f>
        <v/>
      </c>
      <c r="B71" s="48" t="str">
        <f>Housekeeping_Board!B70</f>
        <v/>
      </c>
      <c r="C71" s="45" t="str">
        <f>Housekeeping_Board!D70</f>
        <v/>
      </c>
      <c r="D71" s="51" t="str">
        <f>Housekeeping_Board!G70</f>
        <v/>
      </c>
      <c r="E71" s="45" t="str">
        <f>IF(Housekeeping_Board!C70="Ready for cleaning","No","")</f>
        <v/>
      </c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45" t="str">
        <f>Housekeeping_Board!A71</f>
        <v/>
      </c>
      <c r="B72" s="48" t="str">
        <f>Housekeeping_Board!B71</f>
        <v/>
      </c>
      <c r="C72" s="45" t="str">
        <f>Housekeeping_Board!D71</f>
        <v/>
      </c>
      <c r="D72" s="51" t="str">
        <f>Housekeeping_Board!G71</f>
        <v/>
      </c>
      <c r="E72" s="45" t="str">
        <f>IF(Housekeeping_Board!C71="Ready for cleaning","No","")</f>
        <v/>
      </c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45" t="str">
        <f>Housekeeping_Board!A72</f>
        <v/>
      </c>
      <c r="B73" s="48" t="str">
        <f>Housekeeping_Board!B72</f>
        <v/>
      </c>
      <c r="C73" s="45" t="str">
        <f>Housekeeping_Board!D72</f>
        <v/>
      </c>
      <c r="D73" s="51" t="str">
        <f>Housekeeping_Board!G72</f>
        <v/>
      </c>
      <c r="E73" s="45" t="str">
        <f>IF(Housekeeping_Board!C72="Ready for cleaning","No","")</f>
        <v/>
      </c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45" t="str">
        <f>Housekeeping_Board!A73</f>
        <v/>
      </c>
      <c r="B74" s="48" t="str">
        <f>Housekeeping_Board!B73</f>
        <v/>
      </c>
      <c r="C74" s="45" t="str">
        <f>Housekeeping_Board!D73</f>
        <v/>
      </c>
      <c r="D74" s="51" t="str">
        <f>Housekeeping_Board!G73</f>
        <v/>
      </c>
      <c r="E74" s="45" t="str">
        <f>IF(Housekeeping_Board!C73="Ready for cleaning","No","")</f>
        <v/>
      </c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45" t="str">
        <f>Housekeeping_Board!A74</f>
        <v/>
      </c>
      <c r="B75" s="48" t="str">
        <f>Housekeeping_Board!B74</f>
        <v/>
      </c>
      <c r="C75" s="45" t="str">
        <f>Housekeeping_Board!D74</f>
        <v/>
      </c>
      <c r="D75" s="51" t="str">
        <f>Housekeeping_Board!G74</f>
        <v/>
      </c>
      <c r="E75" s="45" t="str">
        <f>IF(Housekeeping_Board!C74="Ready for cleaning","No","")</f>
        <v/>
      </c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45" t="str">
        <f>Housekeeping_Board!A75</f>
        <v/>
      </c>
      <c r="B76" s="48" t="str">
        <f>Housekeeping_Board!B75</f>
        <v/>
      </c>
      <c r="C76" s="45" t="str">
        <f>Housekeeping_Board!D75</f>
        <v/>
      </c>
      <c r="D76" s="51" t="str">
        <f>Housekeeping_Board!G75</f>
        <v/>
      </c>
      <c r="E76" s="45" t="str">
        <f>IF(Housekeeping_Board!C75="Ready for cleaning","No","")</f>
        <v/>
      </c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45" t="str">
        <f>Housekeeping_Board!A76</f>
        <v/>
      </c>
      <c r="B77" s="48" t="str">
        <f>Housekeeping_Board!B76</f>
        <v/>
      </c>
      <c r="C77" s="45" t="str">
        <f>Housekeeping_Board!D76</f>
        <v/>
      </c>
      <c r="D77" s="51" t="str">
        <f>Housekeeping_Board!G76</f>
        <v/>
      </c>
      <c r="E77" s="45" t="str">
        <f>IF(Housekeeping_Board!C76="Ready for cleaning","No","")</f>
        <v/>
      </c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45" t="str">
        <f>Housekeeping_Board!A77</f>
        <v/>
      </c>
      <c r="B78" s="48" t="str">
        <f>Housekeeping_Board!B77</f>
        <v/>
      </c>
      <c r="C78" s="45" t="str">
        <f>Housekeeping_Board!D77</f>
        <v/>
      </c>
      <c r="D78" s="51" t="str">
        <f>Housekeeping_Board!G77</f>
        <v/>
      </c>
      <c r="E78" s="45" t="str">
        <f>IF(Housekeeping_Board!C77="Ready for cleaning","No","")</f>
        <v/>
      </c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45" t="str">
        <f>Housekeeping_Board!A78</f>
        <v/>
      </c>
      <c r="B79" s="48" t="str">
        <f>Housekeeping_Board!B78</f>
        <v/>
      </c>
      <c r="C79" s="45" t="str">
        <f>Housekeeping_Board!D78</f>
        <v/>
      </c>
      <c r="D79" s="51" t="str">
        <f>Housekeeping_Board!G78</f>
        <v/>
      </c>
      <c r="E79" s="45" t="str">
        <f>IF(Housekeeping_Board!C78="Ready for cleaning","No","")</f>
        <v/>
      </c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45" t="str">
        <f>Housekeeping_Board!A79</f>
        <v/>
      </c>
      <c r="B80" s="48" t="str">
        <f>Housekeeping_Board!B79</f>
        <v/>
      </c>
      <c r="C80" s="45" t="str">
        <f>Housekeeping_Board!D79</f>
        <v/>
      </c>
      <c r="D80" s="51" t="str">
        <f>Housekeeping_Board!G79</f>
        <v/>
      </c>
      <c r="E80" s="45" t="str">
        <f>IF(Housekeeping_Board!C79="Ready for cleaning","No","")</f>
        <v/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45" t="str">
        <f>Housekeeping_Board!A80</f>
        <v/>
      </c>
      <c r="B81" s="48" t="str">
        <f>Housekeeping_Board!B80</f>
        <v/>
      </c>
      <c r="C81" s="45" t="str">
        <f>Housekeeping_Board!D80</f>
        <v/>
      </c>
      <c r="D81" s="51" t="str">
        <f>Housekeeping_Board!G80</f>
        <v/>
      </c>
      <c r="E81" s="45" t="str">
        <f>IF(Housekeeping_Board!C80="Ready for cleaning","No","")</f>
        <v/>
      </c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45" t="str">
        <f>Housekeeping_Board!A81</f>
        <v/>
      </c>
      <c r="B82" s="48" t="str">
        <f>Housekeeping_Board!B81</f>
        <v/>
      </c>
      <c r="C82" s="45" t="str">
        <f>Housekeeping_Board!D81</f>
        <v/>
      </c>
      <c r="D82" s="51" t="str">
        <f>Housekeeping_Board!G81</f>
        <v/>
      </c>
      <c r="E82" s="45" t="str">
        <f>IF(Housekeeping_Board!C81="Ready for cleaning","No","")</f>
        <v/>
      </c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45" t="str">
        <f>Housekeeping_Board!A82</f>
        <v/>
      </c>
      <c r="B83" s="48" t="str">
        <f>Housekeeping_Board!B82</f>
        <v/>
      </c>
      <c r="C83" s="45" t="str">
        <f>Housekeeping_Board!D82</f>
        <v/>
      </c>
      <c r="D83" s="51" t="str">
        <f>Housekeeping_Board!G82</f>
        <v/>
      </c>
      <c r="E83" s="45" t="str">
        <f>IF(Housekeeping_Board!C82="Ready for cleaning","No","")</f>
        <v/>
      </c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45" t="str">
        <f>Housekeeping_Board!A83</f>
        <v/>
      </c>
      <c r="B84" s="48" t="str">
        <f>Housekeeping_Board!B83</f>
        <v/>
      </c>
      <c r="C84" s="45" t="str">
        <f>Housekeeping_Board!D83</f>
        <v/>
      </c>
      <c r="D84" s="51" t="str">
        <f>Housekeeping_Board!G83</f>
        <v/>
      </c>
      <c r="E84" s="45" t="str">
        <f>IF(Housekeeping_Board!C83="Ready for cleaning","No","")</f>
        <v/>
      </c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45" t="str">
        <f>Housekeeping_Board!A84</f>
        <v/>
      </c>
      <c r="B85" s="48" t="str">
        <f>Housekeeping_Board!B84</f>
        <v/>
      </c>
      <c r="C85" s="45" t="str">
        <f>Housekeeping_Board!D84</f>
        <v/>
      </c>
      <c r="D85" s="51" t="str">
        <f>Housekeeping_Board!G84</f>
        <v/>
      </c>
      <c r="E85" s="45" t="str">
        <f>IF(Housekeeping_Board!C84="Ready for cleaning","No","")</f>
        <v/>
      </c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45" t="str">
        <f>Housekeeping_Board!A85</f>
        <v/>
      </c>
      <c r="B86" s="48" t="str">
        <f>Housekeeping_Board!B85</f>
        <v/>
      </c>
      <c r="C86" s="45" t="str">
        <f>Housekeeping_Board!D85</f>
        <v/>
      </c>
      <c r="D86" s="51" t="str">
        <f>Housekeeping_Board!G85</f>
        <v/>
      </c>
      <c r="E86" s="45" t="str">
        <f>IF(Housekeeping_Board!C85="Ready for cleaning","No","")</f>
        <v/>
      </c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45" t="str">
        <f>Housekeeping_Board!A86</f>
        <v/>
      </c>
      <c r="B87" s="48" t="str">
        <f>Housekeeping_Board!B86</f>
        <v/>
      </c>
      <c r="C87" s="45" t="str">
        <f>Housekeeping_Board!D86</f>
        <v/>
      </c>
      <c r="D87" s="51" t="str">
        <f>Housekeeping_Board!G86</f>
        <v/>
      </c>
      <c r="E87" s="45" t="str">
        <f>IF(Housekeeping_Board!C86="Ready for cleaning","No","")</f>
        <v/>
      </c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45" t="str">
        <f>Housekeeping_Board!A87</f>
        <v/>
      </c>
      <c r="B88" s="48" t="str">
        <f>Housekeeping_Board!B87</f>
        <v/>
      </c>
      <c r="C88" s="45" t="str">
        <f>Housekeeping_Board!D87</f>
        <v/>
      </c>
      <c r="D88" s="51" t="str">
        <f>Housekeeping_Board!G87</f>
        <v/>
      </c>
      <c r="E88" s="45" t="str">
        <f>IF(Housekeeping_Board!C87="Ready for cleaning","No","")</f>
        <v/>
      </c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45" t="str">
        <f>Housekeeping_Board!A88</f>
        <v/>
      </c>
      <c r="B89" s="48" t="str">
        <f>Housekeeping_Board!B88</f>
        <v/>
      </c>
      <c r="C89" s="45" t="str">
        <f>Housekeeping_Board!D88</f>
        <v/>
      </c>
      <c r="D89" s="51" t="str">
        <f>Housekeeping_Board!G88</f>
        <v/>
      </c>
      <c r="E89" s="45" t="str">
        <f>IF(Housekeeping_Board!C88="Ready for cleaning","No","")</f>
        <v/>
      </c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45" t="str">
        <f>Housekeeping_Board!A89</f>
        <v/>
      </c>
      <c r="B90" s="48" t="str">
        <f>Housekeeping_Board!B89</f>
        <v/>
      </c>
      <c r="C90" s="45" t="str">
        <f>Housekeeping_Board!D89</f>
        <v/>
      </c>
      <c r="D90" s="51" t="str">
        <f>Housekeeping_Board!G89</f>
        <v/>
      </c>
      <c r="E90" s="45" t="str">
        <f>IF(Housekeeping_Board!C89="Ready for cleaning","No","")</f>
        <v/>
      </c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45" t="str">
        <f>Housekeeping_Board!A90</f>
        <v/>
      </c>
      <c r="B91" s="48" t="str">
        <f>Housekeeping_Board!B90</f>
        <v/>
      </c>
      <c r="C91" s="45" t="str">
        <f>Housekeeping_Board!D90</f>
        <v/>
      </c>
      <c r="D91" s="51" t="str">
        <f>Housekeeping_Board!G90</f>
        <v/>
      </c>
      <c r="E91" s="45" t="str">
        <f>IF(Housekeeping_Board!C90="Ready for cleaning","No","")</f>
        <v/>
      </c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45" t="str">
        <f>Housekeeping_Board!A91</f>
        <v/>
      </c>
      <c r="B92" s="48" t="str">
        <f>Housekeeping_Board!B91</f>
        <v/>
      </c>
      <c r="C92" s="45" t="str">
        <f>Housekeeping_Board!D91</f>
        <v/>
      </c>
      <c r="D92" s="51" t="str">
        <f>Housekeeping_Board!G91</f>
        <v/>
      </c>
      <c r="E92" s="45" t="str">
        <f>IF(Housekeeping_Board!C91="Ready for cleaning","No","")</f>
        <v/>
      </c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45" t="str">
        <f>Housekeeping_Board!A92</f>
        <v/>
      </c>
      <c r="B93" s="48" t="str">
        <f>Housekeeping_Board!B92</f>
        <v/>
      </c>
      <c r="C93" s="45" t="str">
        <f>Housekeeping_Board!D92</f>
        <v/>
      </c>
      <c r="D93" s="51" t="str">
        <f>Housekeeping_Board!G92</f>
        <v/>
      </c>
      <c r="E93" s="45" t="str">
        <f>IF(Housekeeping_Board!C92="Ready for cleaning","No","")</f>
        <v/>
      </c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45" t="str">
        <f>Housekeeping_Board!A93</f>
        <v/>
      </c>
      <c r="B94" s="48" t="str">
        <f>Housekeeping_Board!B93</f>
        <v/>
      </c>
      <c r="C94" s="45" t="str">
        <f>Housekeeping_Board!D93</f>
        <v/>
      </c>
      <c r="D94" s="51" t="str">
        <f>Housekeeping_Board!G93</f>
        <v/>
      </c>
      <c r="E94" s="45" t="str">
        <f>IF(Housekeeping_Board!C93="Ready for cleaning","No","")</f>
        <v/>
      </c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45" t="str">
        <f>Housekeeping_Board!A94</f>
        <v/>
      </c>
      <c r="B95" s="48" t="str">
        <f>Housekeeping_Board!B94</f>
        <v/>
      </c>
      <c r="C95" s="45" t="str">
        <f>Housekeeping_Board!D94</f>
        <v/>
      </c>
      <c r="D95" s="51" t="str">
        <f>Housekeeping_Board!G94</f>
        <v/>
      </c>
      <c r="E95" s="45" t="str">
        <f>IF(Housekeeping_Board!C94="Ready for cleaning","No","")</f>
        <v/>
      </c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45" t="str">
        <f>Housekeeping_Board!A95</f>
        <v/>
      </c>
      <c r="B96" s="48" t="str">
        <f>Housekeeping_Board!B95</f>
        <v/>
      </c>
      <c r="C96" s="45" t="str">
        <f>Housekeeping_Board!D95</f>
        <v/>
      </c>
      <c r="D96" s="51" t="str">
        <f>Housekeeping_Board!G95</f>
        <v/>
      </c>
      <c r="E96" s="45" t="str">
        <f>IF(Housekeeping_Board!C95="Ready for cleaning","No","")</f>
        <v/>
      </c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45" t="str">
        <f>Housekeeping_Board!A96</f>
        <v/>
      </c>
      <c r="B97" s="48" t="str">
        <f>Housekeeping_Board!B96</f>
        <v/>
      </c>
      <c r="C97" s="45" t="str">
        <f>Housekeeping_Board!D96</f>
        <v/>
      </c>
      <c r="D97" s="51" t="str">
        <f>Housekeeping_Board!G96</f>
        <v/>
      </c>
      <c r="E97" s="45" t="str">
        <f>IF(Housekeeping_Board!C96="Ready for cleaning","No","")</f>
        <v/>
      </c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45" t="str">
        <f>Housekeeping_Board!A97</f>
        <v/>
      </c>
      <c r="B98" s="48" t="str">
        <f>Housekeeping_Board!B97</f>
        <v/>
      </c>
      <c r="C98" s="45" t="str">
        <f>Housekeeping_Board!D97</f>
        <v/>
      </c>
      <c r="D98" s="51" t="str">
        <f>Housekeeping_Board!G97</f>
        <v/>
      </c>
      <c r="E98" s="45" t="str">
        <f>IF(Housekeeping_Board!C97="Ready for cleaning","No","")</f>
        <v/>
      </c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45" t="str">
        <f>Housekeeping_Board!A98</f>
        <v/>
      </c>
      <c r="B99" s="48" t="str">
        <f>Housekeeping_Board!B98</f>
        <v/>
      </c>
      <c r="C99" s="45" t="str">
        <f>Housekeeping_Board!D98</f>
        <v/>
      </c>
      <c r="D99" s="51" t="str">
        <f>Housekeeping_Board!G98</f>
        <v/>
      </c>
      <c r="E99" s="45" t="str">
        <f>IF(Housekeeping_Board!C98="Ready for cleaning","No","")</f>
        <v/>
      </c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45" t="str">
        <f>Housekeeping_Board!A99</f>
        <v/>
      </c>
      <c r="B100" s="48" t="str">
        <f>Housekeeping_Board!B99</f>
        <v/>
      </c>
      <c r="C100" s="45" t="str">
        <f>Housekeeping_Board!D99</f>
        <v/>
      </c>
      <c r="D100" s="51" t="str">
        <f>Housekeeping_Board!G99</f>
        <v/>
      </c>
      <c r="E100" s="45" t="str">
        <f>IF(Housekeeping_Board!C99="Ready for cleaning","No","")</f>
        <v/>
      </c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2.0"/>
    <col customWidth="1" min="3" max="4" width="2.0"/>
    <col customWidth="1" min="5" max="6" width="8.71"/>
  </cols>
  <sheetData>
    <row r="1">
      <c r="A1" s="72" t="s">
        <v>126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74" t="s">
        <v>127</v>
      </c>
      <c r="B3" s="37">
        <v>46025.0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75" t="s">
        <v>128</v>
      </c>
      <c r="B5" s="76">
        <v>1.0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75" t="s">
        <v>129</v>
      </c>
      <c r="B6" s="76">
        <v>0.0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75" t="s">
        <v>130</v>
      </c>
      <c r="B7" s="76">
        <v>0.0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75" t="s">
        <v>131</v>
      </c>
      <c r="B8" s="76">
        <v>0.0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77" t="s">
        <v>132</v>
      </c>
      <c r="B9" s="78">
        <v>0.0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77" t="s">
        <v>133</v>
      </c>
      <c r="B10" s="78">
        <v>0.0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77" t="s">
        <v>134</v>
      </c>
      <c r="B11" s="78">
        <v>0.0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79" t="s">
        <v>135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74" t="s">
        <v>136</v>
      </c>
      <c r="B15" s="41">
        <v>0.0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74" t="s">
        <v>137</v>
      </c>
      <c r="B16" s="61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74" t="s">
        <v>138</v>
      </c>
      <c r="B17" s="61" t="str">
        <f>IF(B16="","",B16-B15)</f>
        <v/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3:D1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4" width="28.0"/>
    <col customWidth="1" min="5" max="7" width="8.71"/>
  </cols>
  <sheetData>
    <row r="1">
      <c r="A1" s="71" t="s">
        <v>2</v>
      </c>
      <c r="B1" s="71" t="s">
        <v>139</v>
      </c>
      <c r="C1" s="80" t="s">
        <v>140</v>
      </c>
      <c r="D1" s="71" t="s">
        <v>141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45">
        <v>101.0</v>
      </c>
      <c r="B2" s="40" t="s">
        <v>142</v>
      </c>
      <c r="C2" s="40" t="s">
        <v>143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45">
        <v>102.0</v>
      </c>
      <c r="B3" s="40" t="s">
        <v>142</v>
      </c>
      <c r="C3" s="40" t="s">
        <v>144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45">
        <v>103.0</v>
      </c>
      <c r="B4" s="38"/>
      <c r="C4" s="40" t="s">
        <v>145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45">
        <v>104.0</v>
      </c>
      <c r="B5" s="38"/>
      <c r="C5" s="40" t="s">
        <v>145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45">
        <v>105.0</v>
      </c>
      <c r="B6" s="40" t="s">
        <v>142</v>
      </c>
      <c r="C6" s="40" t="s">
        <v>146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45">
        <v>106.0</v>
      </c>
      <c r="B7" s="38"/>
      <c r="C7" s="40" t="s">
        <v>147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45">
        <v>107.0</v>
      </c>
      <c r="B8" s="38"/>
      <c r="C8" s="40" t="s">
        <v>147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45">
        <v>108.0</v>
      </c>
      <c r="B9" s="38"/>
      <c r="C9" s="40" t="s">
        <v>148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45">
        <v>109.0</v>
      </c>
      <c r="B10" s="38"/>
      <c r="C10" s="40" t="s">
        <v>148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45">
        <v>110.0</v>
      </c>
      <c r="B11" s="38"/>
      <c r="C11" s="40" t="s">
        <v>147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45">
        <v>111.0</v>
      </c>
      <c r="B12" s="38"/>
      <c r="C12" s="40" t="s">
        <v>147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45">
        <v>112.0</v>
      </c>
      <c r="B13" s="38"/>
      <c r="C13" s="40" t="s">
        <v>147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45">
        <v>113.0</v>
      </c>
      <c r="B14" s="38"/>
      <c r="C14" s="40" t="s">
        <v>149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45">
        <v>114.0</v>
      </c>
      <c r="B15" s="40" t="s">
        <v>150</v>
      </c>
      <c r="C15" s="40" t="s">
        <v>151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45">
        <v>115.0</v>
      </c>
      <c r="B16" s="40" t="s">
        <v>152</v>
      </c>
      <c r="C16" s="40" t="s">
        <v>153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45">
        <v>116.0</v>
      </c>
      <c r="B17" s="38"/>
      <c r="C17" s="40" t="s">
        <v>148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45">
        <v>117.0</v>
      </c>
      <c r="B18" s="38"/>
      <c r="C18" s="40" t="s">
        <v>147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45">
        <v>118.0</v>
      </c>
      <c r="B19" s="38"/>
      <c r="C19" s="40" t="s">
        <v>145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45">
        <v>119.0</v>
      </c>
      <c r="B20" s="38"/>
      <c r="C20" s="40" t="s">
        <v>145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ht="15.75" customHeight="1">
      <c r="A21" s="45">
        <v>120.0</v>
      </c>
      <c r="B21" s="38"/>
      <c r="C21" s="40" t="s">
        <v>147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ht="15.75" customHeight="1">
      <c r="A22" s="45">
        <v>121.0</v>
      </c>
      <c r="B22" s="38"/>
      <c r="C22" s="40" t="s">
        <v>147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ht="15.75" customHeight="1">
      <c r="A23" s="45">
        <v>122.0</v>
      </c>
      <c r="B23" s="40" t="s">
        <v>150</v>
      </c>
      <c r="C23" s="40" t="s">
        <v>151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ht="15.75" customHeight="1">
      <c r="A24" s="45">
        <v>123.0</v>
      </c>
      <c r="B24" s="40" t="s">
        <v>150</v>
      </c>
      <c r="C24" s="40" t="s">
        <v>151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ht="15.75" customHeight="1">
      <c r="A25" s="45">
        <v>124.0</v>
      </c>
      <c r="B25" s="38"/>
      <c r="C25" s="40" t="s">
        <v>147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ht="15.75" customHeight="1">
      <c r="A26" s="45">
        <v>125.0</v>
      </c>
      <c r="B26" s="40" t="s">
        <v>152</v>
      </c>
      <c r="C26" s="40" t="s">
        <v>147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ht="15.75" customHeight="1">
      <c r="A27" s="45">
        <v>126.0</v>
      </c>
      <c r="B27" s="38"/>
      <c r="C27" s="40" t="s">
        <v>148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ht="15.75" customHeight="1">
      <c r="A28" s="45">
        <v>127.0</v>
      </c>
      <c r="B28" s="40" t="s">
        <v>152</v>
      </c>
      <c r="C28" s="40" t="s">
        <v>147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ht="15.75" customHeight="1">
      <c r="A29" s="45">
        <v>128.0</v>
      </c>
      <c r="B29" s="40" t="s">
        <v>152</v>
      </c>
      <c r="C29" s="40" t="s">
        <v>148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ht="15.75" customHeight="1">
      <c r="A30" s="45">
        <v>129.0</v>
      </c>
      <c r="B30" s="40" t="s">
        <v>152</v>
      </c>
      <c r="C30" s="40" t="s">
        <v>147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ht="15.75" customHeight="1">
      <c r="A31" s="45">
        <v>130.0</v>
      </c>
      <c r="B31" s="40" t="s">
        <v>152</v>
      </c>
      <c r="C31" s="40" t="s">
        <v>147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ht="15.75" customHeight="1">
      <c r="A32" s="45">
        <v>131.0</v>
      </c>
      <c r="B32" s="40" t="s">
        <v>152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ht="15.75" customHeight="1">
      <c r="A33" s="45">
        <v>132.0</v>
      </c>
      <c r="B33" s="40" t="s">
        <v>152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ht="15.75" customHeight="1">
      <c r="A34" s="45">
        <v>133.0</v>
      </c>
      <c r="B34" s="40" t="s">
        <v>152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ht="15.75" customHeight="1">
      <c r="A35" s="45">
        <v>134.0</v>
      </c>
      <c r="B35" s="40" t="s">
        <v>152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ht="15.75" customHeight="1">
      <c r="A36" s="45">
        <v>135.0</v>
      </c>
      <c r="B36" s="40"/>
      <c r="C36" s="40" t="s">
        <v>154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ht="15.75" customHeight="1">
      <c r="A37" s="45">
        <v>136.0</v>
      </c>
      <c r="B37" s="40"/>
      <c r="C37" s="40" t="s">
        <v>154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ht="15.75" customHeight="1">
      <c r="A38" s="45">
        <v>137.0</v>
      </c>
      <c r="B38" s="38"/>
      <c r="C38" s="40" t="s">
        <v>154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ht="15.75" customHeight="1">
      <c r="A39" s="45">
        <v>138.0</v>
      </c>
      <c r="B39" s="40" t="s">
        <v>152</v>
      </c>
      <c r="C39" s="40" t="s">
        <v>143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15.75" customHeight="1">
      <c r="A40" s="45">
        <v>139.0</v>
      </c>
      <c r="B40" s="38"/>
      <c r="C40" s="40" t="s">
        <v>147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ht="15.75" customHeight="1">
      <c r="A41" s="45">
        <v>140.0</v>
      </c>
      <c r="B41" s="38"/>
      <c r="C41" s="40" t="s">
        <v>148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ht="15.75" customHeight="1">
      <c r="A42" s="45">
        <v>141.0</v>
      </c>
      <c r="B42" s="38"/>
      <c r="C42" s="40" t="s">
        <v>148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ht="15.75" customHeight="1">
      <c r="A43" s="45">
        <v>142.0</v>
      </c>
      <c r="B43" s="38"/>
      <c r="C43" s="40" t="s">
        <v>147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ht="15.75" customHeight="1">
      <c r="A44" s="45">
        <v>143.0</v>
      </c>
      <c r="B44" s="38"/>
      <c r="C44" s="40" t="s">
        <v>147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ht="15.75" customHeight="1">
      <c r="A45" s="45">
        <v>144.0</v>
      </c>
      <c r="B45" s="38"/>
      <c r="C45" s="40" t="s">
        <v>147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ht="15.75" customHeight="1">
      <c r="A46" s="45">
        <v>145.0</v>
      </c>
      <c r="B46" s="38"/>
      <c r="C46" s="40" t="s">
        <v>147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ht="15.75" customHeight="1">
      <c r="A47" s="45">
        <v>146.0</v>
      </c>
      <c r="B47" s="38"/>
      <c r="C47" s="40" t="s">
        <v>147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ht="15.75" customHeight="1">
      <c r="A48" s="45">
        <v>147.0</v>
      </c>
      <c r="B48" s="38"/>
      <c r="C48" s="40" t="s">
        <v>147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ht="15.75" customHeight="1">
      <c r="A49" s="45">
        <v>148.0</v>
      </c>
      <c r="B49" s="40" t="s">
        <v>152</v>
      </c>
      <c r="C49" s="40" t="s">
        <v>148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ht="15.75" customHeight="1">
      <c r="A50" s="45">
        <v>149.0</v>
      </c>
      <c r="B50" s="40" t="s">
        <v>152</v>
      </c>
      <c r="C50" s="40" t="s">
        <v>147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ht="15.75" customHeight="1">
      <c r="A51" s="45">
        <v>150.0</v>
      </c>
      <c r="B51" s="40" t="s">
        <v>152</v>
      </c>
      <c r="C51" s="40" t="s">
        <v>147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ht="15.75" customHeight="1">
      <c r="A52" s="45">
        <v>151.0</v>
      </c>
      <c r="B52" s="40" t="s">
        <v>152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ht="15.75" customHeight="1">
      <c r="A53" s="45">
        <v>152.0</v>
      </c>
      <c r="B53" s="40" t="s">
        <v>142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ht="15.75" customHeight="1">
      <c r="A54" s="45">
        <v>153.0</v>
      </c>
      <c r="B54" s="40" t="s">
        <v>142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ht="15.75" customHeight="1">
      <c r="A55" s="45">
        <v>154.0</v>
      </c>
      <c r="B55" s="40" t="s">
        <v>142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ht="15.75" customHeight="1">
      <c r="A56" s="45">
        <v>155.0</v>
      </c>
      <c r="B56" s="40" t="s">
        <v>142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ht="15.75" customHeight="1">
      <c r="A57" s="45">
        <v>156.0</v>
      </c>
      <c r="B57" s="40" t="s">
        <v>142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ht="15.75" customHeight="1">
      <c r="A58" s="45">
        <v>157.0</v>
      </c>
      <c r="B58" s="40" t="s">
        <v>142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ht="15.75" customHeight="1">
      <c r="A59" s="45">
        <v>158.0</v>
      </c>
      <c r="B59" s="40" t="s">
        <v>142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ht="15.75" customHeight="1">
      <c r="A60" s="45">
        <v>159.0</v>
      </c>
      <c r="B60" s="40" t="s">
        <v>142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ht="15.75" customHeight="1">
      <c r="A61" s="45">
        <v>160.0</v>
      </c>
      <c r="B61" s="40" t="s">
        <v>142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61">
      <formula1>"Available,Maintenance,Construction,Out of Order,Repair"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6" width="8.71"/>
  </cols>
  <sheetData>
    <row r="1">
      <c r="A1" s="81" t="s">
        <v>155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51" t="s">
        <v>156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82" t="s">
        <v>157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82" t="s">
        <v>158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82" t="s">
        <v>159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82" t="s">
        <v>160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82" t="s">
        <v>161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82" t="s">
        <v>162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82" t="s">
        <v>163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82" t="s">
        <v>164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82" t="s">
        <v>165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82" t="s">
        <v>166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82" t="s">
        <v>159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82" t="s">
        <v>167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82" t="s">
        <v>168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82" t="s">
        <v>169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82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82" t="s">
        <v>170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82" t="s">
        <v>171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82" t="s">
        <v>172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82" t="s">
        <v>173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82" t="s">
        <v>174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82" t="s">
        <v>175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82" t="s">
        <v>176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82" t="s">
        <v>177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82" t="s">
        <v>178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82" t="s">
        <v>179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82" t="s">
        <v>180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82" t="s">
        <v>181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82" t="s">
        <v>182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82" t="s">
        <v>180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82" t="s">
        <v>183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8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82" t="s">
        <v>184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82" t="s">
        <v>185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82" t="s">
        <v>186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82" t="s">
        <v>187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82" t="s">
        <v>188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82" t="s">
        <v>189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82" t="s">
        <v>190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82" t="s">
        <v>191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82" t="s">
        <v>192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82" t="s">
        <v>193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82" t="s">
        <v>194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82" t="s">
        <v>195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82" t="s">
        <v>196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82" t="s">
        <v>197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82" t="s">
        <v>198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82" t="s">
        <v>199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82" t="s">
        <v>200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82" t="s">
        <v>201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8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82" t="s">
        <v>202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82" t="s">
        <v>203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82" t="s">
        <v>204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82" t="s">
        <v>205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82" t="s">
        <v>206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82" t="s">
        <v>207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82" t="s">
        <v>208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8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82" t="s">
        <v>209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82" t="s">
        <v>210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82" t="s">
        <v>211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8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82" t="s">
        <v>212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82" t="s">
        <v>213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82" t="s">
        <v>214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82" t="s">
        <v>215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82" t="s">
        <v>216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82" t="s">
        <v>217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82" t="s">
        <v>218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82" t="s">
        <v>219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82" t="s">
        <v>220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8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82" t="s">
        <v>221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82" t="s">
        <v>222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82" t="s">
        <v>223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82" t="s">
        <v>224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82" t="s">
        <v>225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82" t="s">
        <v>223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8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82" t="s">
        <v>226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82" t="s">
        <v>227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82" t="s">
        <v>228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82" t="s">
        <v>229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82" t="s">
        <v>230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82" t="s">
        <v>223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8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82" t="s">
        <v>231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82" t="s">
        <v>232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82" t="s">
        <v>233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82" t="s">
        <v>234</v>
      </c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82" t="s">
        <v>223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8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82" t="s">
        <v>235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82" t="s">
        <v>236</v>
      </c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82" t="s">
        <v>237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8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82" t="s">
        <v>238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82" t="s">
        <v>239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82" t="s">
        <v>240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8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82" t="s">
        <v>241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82" t="s">
        <v>242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82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82" t="s">
        <v>243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82" t="s">
        <v>244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82" t="s">
        <v>245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82" t="s">
        <v>246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82" t="s">
        <v>247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82" t="s">
        <v>248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82" t="s">
        <v>219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82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82" t="s">
        <v>249</v>
      </c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82" t="s">
        <v>250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82" t="s">
        <v>251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82" t="s">
        <v>248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82" t="s">
        <v>219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82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82" t="s">
        <v>252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82" t="s">
        <v>253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82" t="s">
        <v>254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82" t="s">
        <v>248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82" t="s">
        <v>219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82" t="s">
        <v>223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82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82" t="s">
        <v>255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82" t="s">
        <v>256</v>
      </c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82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82" t="s">
        <v>257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82" t="s">
        <v>258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82" t="s">
        <v>259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82" t="s">
        <v>260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82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82" t="s">
        <v>261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82" t="s">
        <v>262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82" t="s">
        <v>263</v>
      </c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82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82" t="s">
        <v>264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82" t="s">
        <v>265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82" t="s">
        <v>266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82" t="s">
        <v>267</v>
      </c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82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82" t="s">
        <v>268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82" t="s">
        <v>269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82" t="s">
        <v>270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82" t="s">
        <v>271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82" t="s">
        <v>272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82" t="s">
        <v>219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8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82" t="s">
        <v>273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82" t="s">
        <v>274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82" t="s">
        <v>275</v>
      </c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82" t="s">
        <v>276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82" t="s">
        <v>277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82" t="s">
        <v>219</v>
      </c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82" t="s">
        <v>278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82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82" t="s">
        <v>279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82" t="s">
        <v>280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82" t="s">
        <v>281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82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82" t="s">
        <v>282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82" t="s">
        <v>283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82" t="s">
        <v>284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82" t="s">
        <v>285</v>
      </c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82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82" t="s">
        <v>286</v>
      </c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82" t="s">
        <v>287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82" t="s">
        <v>288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82" t="s">
        <v>289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82" t="s">
        <v>290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82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82" t="s">
        <v>291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82" t="s">
        <v>292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82" t="s">
        <v>293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82" t="s">
        <v>294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82" t="s">
        <v>295</v>
      </c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82" t="s">
        <v>296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82" t="s">
        <v>297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82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82" t="s">
        <v>298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82" t="s">
        <v>299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82" t="s">
        <v>300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82" t="s">
        <v>301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82" t="s">
        <v>302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82" t="s">
        <v>303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82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82" t="s">
        <v>304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82" t="s">
        <v>305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82" t="s">
        <v>306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82" t="s">
        <v>307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82" t="s">
        <v>308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82" t="s">
        <v>309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82" t="s">
        <v>310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82" t="s">
        <v>311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82" t="s">
        <v>312</v>
      </c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82" t="s">
        <v>313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82" t="s">
        <v>314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82" t="s">
        <v>310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82" t="s">
        <v>296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82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82" t="s">
        <v>315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82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82" t="s">
        <v>316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82" t="s">
        <v>317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82" t="s">
        <v>318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82" t="s">
        <v>319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82" t="s">
        <v>320</v>
      </c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82" t="s">
        <v>321</v>
      </c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82" t="s">
        <v>322</v>
      </c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82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82" t="s">
        <v>323</v>
      </c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82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82" t="s">
        <v>324</v>
      </c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82" t="s">
        <v>325</v>
      </c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82" t="s">
        <v>296</v>
      </c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82" t="s">
        <v>326</v>
      </c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82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82" t="s">
        <v>327</v>
      </c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82" t="s">
        <v>328</v>
      </c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82" t="s">
        <v>329</v>
      </c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82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82" t="s">
        <v>330</v>
      </c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82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82" t="s">
        <v>331</v>
      </c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82" t="s">
        <v>332</v>
      </c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82" t="s">
        <v>333</v>
      </c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82" t="s">
        <v>334</v>
      </c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82" t="s">
        <v>335</v>
      </c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82" t="s">
        <v>336</v>
      </c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82" t="s">
        <v>337</v>
      </c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82" t="s">
        <v>219</v>
      </c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82" t="s">
        <v>223</v>
      </c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82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82" t="s">
        <v>338</v>
      </c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82" t="s">
        <v>256</v>
      </c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82" t="s">
        <v>339</v>
      </c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82" t="s">
        <v>259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82" t="s">
        <v>257</v>
      </c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82" t="s">
        <v>340</v>
      </c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82" t="s">
        <v>341</v>
      </c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82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82" t="s">
        <v>342</v>
      </c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82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82" t="s">
        <v>343</v>
      </c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82" t="s">
        <v>344</v>
      </c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82" t="s">
        <v>345</v>
      </c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82" t="s">
        <v>346</v>
      </c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82" t="s">
        <v>347</v>
      </c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82" t="s">
        <v>348</v>
      </c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82" t="s">
        <v>349</v>
      </c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82" t="s">
        <v>350</v>
      </c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82" t="s">
        <v>351</v>
      </c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82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82" t="s">
        <v>352</v>
      </c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82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82" t="s">
        <v>353</v>
      </c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82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82" t="s">
        <v>354</v>
      </c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82" t="s">
        <v>355</v>
      </c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82" t="s">
        <v>356</v>
      </c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82" t="s">
        <v>357</v>
      </c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82" t="s">
        <v>358</v>
      </c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82" t="s">
        <v>223</v>
      </c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82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82" t="s">
        <v>359</v>
      </c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82" t="s">
        <v>256</v>
      </c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82" t="s">
        <v>360</v>
      </c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82" t="s">
        <v>361</v>
      </c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82" t="s">
        <v>362</v>
      </c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82" t="s">
        <v>223</v>
      </c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82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82" t="s">
        <v>363</v>
      </c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82" t="s">
        <v>256</v>
      </c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82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82" t="s">
        <v>339</v>
      </c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82" t="s">
        <v>257</v>
      </c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82" t="s">
        <v>259</v>
      </c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82" t="s">
        <v>264</v>
      </c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82" t="s">
        <v>265</v>
      </c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82" t="s">
        <v>364</v>
      </c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82" t="s">
        <v>341</v>
      </c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82" t="s">
        <v>365</v>
      </c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82" t="s">
        <v>366</v>
      </c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82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82" t="s">
        <v>282</v>
      </c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82" t="s">
        <v>283</v>
      </c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82" t="s">
        <v>284</v>
      </c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82" t="s">
        <v>285</v>
      </c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82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82" t="s">
        <v>298</v>
      </c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82" t="s">
        <v>299</v>
      </c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82" t="s">
        <v>300</v>
      </c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82" t="s">
        <v>301</v>
      </c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82" t="s">
        <v>302</v>
      </c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82" t="s">
        <v>303</v>
      </c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82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82" t="s">
        <v>367</v>
      </c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82" t="s">
        <v>368</v>
      </c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82" t="s">
        <v>369</v>
      </c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82" t="s">
        <v>370</v>
      </c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82" t="s">
        <v>371</v>
      </c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82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82" t="s">
        <v>316</v>
      </c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82" t="s">
        <v>317</v>
      </c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82" t="s">
        <v>318</v>
      </c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82" t="s">
        <v>372</v>
      </c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82" t="s">
        <v>373</v>
      </c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82" t="s">
        <v>322</v>
      </c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82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82" t="s">
        <v>374</v>
      </c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82" t="s">
        <v>375</v>
      </c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82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82" t="s">
        <v>376</v>
      </c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82" t="s">
        <v>377</v>
      </c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82" t="s">
        <v>296</v>
      </c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82" t="s">
        <v>326</v>
      </c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82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82" t="s">
        <v>378</v>
      </c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82" t="s">
        <v>379</v>
      </c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82" t="s">
        <v>328</v>
      </c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82" t="s">
        <v>329</v>
      </c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82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82" t="s">
        <v>380</v>
      </c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82" t="s">
        <v>223</v>
      </c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:F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3" t="s">
        <v>381</v>
      </c>
    </row>
    <row r="2">
      <c r="A2" s="83" t="s">
        <v>382</v>
      </c>
    </row>
    <row r="3">
      <c r="A3" s="83" t="s">
        <v>383</v>
      </c>
    </row>
    <row r="4">
      <c r="A4" s="83" t="s">
        <v>384</v>
      </c>
    </row>
    <row r="5">
      <c r="A5" s="83" t="s">
        <v>385</v>
      </c>
    </row>
    <row r="6">
      <c r="A6" s="83" t="s">
        <v>386</v>
      </c>
    </row>
    <row r="7">
      <c r="A7" s="83" t="s">
        <v>387</v>
      </c>
    </row>
    <row r="8">
      <c r="A8" s="83" t="s">
        <v>388</v>
      </c>
    </row>
    <row r="9">
      <c r="A9" s="83" t="s">
        <v>389</v>
      </c>
    </row>
    <row r="10">
      <c r="A10" s="83" t="s">
        <v>390</v>
      </c>
    </row>
    <row r="11">
      <c r="A11" s="83" t="s">
        <v>391</v>
      </c>
    </row>
    <row r="12">
      <c r="A12" s="83" t="s">
        <v>392</v>
      </c>
    </row>
    <row r="13">
      <c r="A13" s="83" t="s">
        <v>393</v>
      </c>
    </row>
    <row r="14">
      <c r="A14" s="83" t="s">
        <v>394</v>
      </c>
    </row>
    <row r="15">
      <c r="A15" s="83" t="s">
        <v>395</v>
      </c>
    </row>
    <row r="16">
      <c r="A16" s="83" t="s">
        <v>396</v>
      </c>
    </row>
    <row r="17">
      <c r="A17" s="83" t="s">
        <v>397</v>
      </c>
    </row>
    <row r="18">
      <c r="A18" s="83" t="s">
        <v>398</v>
      </c>
    </row>
    <row r="20">
      <c r="A20" s="83" t="s">
        <v>170</v>
      </c>
    </row>
    <row r="21">
      <c r="A21" s="83" t="s">
        <v>399</v>
      </c>
    </row>
    <row r="22">
      <c r="A22" s="83" t="s">
        <v>400</v>
      </c>
    </row>
    <row r="24">
      <c r="A24" s="83" t="s">
        <v>401</v>
      </c>
    </row>
    <row r="25">
      <c r="A25" s="83" t="s">
        <v>402</v>
      </c>
    </row>
    <row r="26">
      <c r="A26" s="83" t="s">
        <v>403</v>
      </c>
    </row>
    <row r="27">
      <c r="A27" s="83" t="s">
        <v>404</v>
      </c>
    </row>
    <row r="28">
      <c r="A28" s="83" t="s">
        <v>405</v>
      </c>
    </row>
    <row r="29">
      <c r="A29" s="83" t="s">
        <v>406</v>
      </c>
    </row>
    <row r="30">
      <c r="A30" s="83" t="s">
        <v>407</v>
      </c>
    </row>
    <row r="32">
      <c r="A32" s="83" t="s">
        <v>408</v>
      </c>
    </row>
    <row r="34">
      <c r="A34" s="83" t="s">
        <v>409</v>
      </c>
    </row>
    <row r="35">
      <c r="A35" s="83" t="s">
        <v>410</v>
      </c>
    </row>
    <row r="36">
      <c r="A36" s="83" t="s">
        <v>411</v>
      </c>
    </row>
    <row r="37">
      <c r="A37" s="83" t="s">
        <v>412</v>
      </c>
    </row>
    <row r="38">
      <c r="A38" s="83" t="s">
        <v>413</v>
      </c>
    </row>
    <row r="39">
      <c r="A39" s="83" t="s">
        <v>414</v>
      </c>
    </row>
    <row r="40">
      <c r="A40" s="83" t="s">
        <v>415</v>
      </c>
    </row>
    <row r="41">
      <c r="A41" s="83" t="s">
        <v>416</v>
      </c>
    </row>
    <row r="42">
      <c r="A42" s="83" t="s">
        <v>417</v>
      </c>
    </row>
    <row r="43">
      <c r="A43" s="83" t="s">
        <v>418</v>
      </c>
    </row>
    <row r="44">
      <c r="A44" s="83" t="s">
        <v>419</v>
      </c>
    </row>
    <row r="45">
      <c r="A45" s="83" t="s">
        <v>420</v>
      </c>
    </row>
    <row r="46">
      <c r="A46" s="83" t="s">
        <v>421</v>
      </c>
    </row>
    <row r="47">
      <c r="A47" s="83" t="s">
        <v>422</v>
      </c>
    </row>
    <row r="48">
      <c r="A48" s="83" t="s">
        <v>407</v>
      </c>
    </row>
    <row r="50">
      <c r="A50" s="83" t="s">
        <v>423</v>
      </c>
    </row>
    <row r="51">
      <c r="A51" s="83" t="s">
        <v>424</v>
      </c>
    </row>
    <row r="53">
      <c r="A53" s="83" t="s">
        <v>425</v>
      </c>
    </row>
    <row r="55">
      <c r="A55" s="83" t="s">
        <v>426</v>
      </c>
    </row>
    <row r="56">
      <c r="A56" s="83" t="s">
        <v>220</v>
      </c>
    </row>
    <row r="58">
      <c r="A58" s="83" t="s">
        <v>427</v>
      </c>
    </row>
    <row r="59">
      <c r="A59" s="83" t="s">
        <v>428</v>
      </c>
    </row>
    <row r="60">
      <c r="A60" s="83" t="s">
        <v>429</v>
      </c>
    </row>
    <row r="61">
      <c r="A61" s="83" t="s">
        <v>430</v>
      </c>
    </row>
    <row r="63">
      <c r="A63" s="83" t="s">
        <v>431</v>
      </c>
    </row>
    <row r="64">
      <c r="A64" s="83" t="s">
        <v>432</v>
      </c>
    </row>
    <row r="66">
      <c r="A66" s="83" t="s">
        <v>433</v>
      </c>
    </row>
    <row r="67">
      <c r="A67" s="83" t="s">
        <v>434</v>
      </c>
    </row>
    <row r="68">
      <c r="A68" s="83" t="s">
        <v>435</v>
      </c>
    </row>
    <row r="69">
      <c r="A69" s="83" t="s">
        <v>436</v>
      </c>
    </row>
    <row r="70">
      <c r="A70" s="83" t="s">
        <v>437</v>
      </c>
    </row>
    <row r="72">
      <c r="A72" s="83" t="s">
        <v>438</v>
      </c>
    </row>
    <row r="73">
      <c r="A73" s="83" t="s">
        <v>439</v>
      </c>
    </row>
    <row r="74">
      <c r="A74" s="83" t="s">
        <v>440</v>
      </c>
    </row>
    <row r="75">
      <c r="A75" s="83" t="s">
        <v>441</v>
      </c>
    </row>
    <row r="76">
      <c r="A76" s="83" t="s">
        <v>442</v>
      </c>
    </row>
    <row r="77">
      <c r="A77" s="83" t="s">
        <v>443</v>
      </c>
    </row>
    <row r="78">
      <c r="A78" s="83" t="s">
        <v>444</v>
      </c>
    </row>
    <row r="79">
      <c r="A79" s="83" t="s">
        <v>445</v>
      </c>
    </row>
    <row r="81">
      <c r="A81" s="83" t="s">
        <v>446</v>
      </c>
    </row>
    <row r="82">
      <c r="A82" s="83" t="s">
        <v>447</v>
      </c>
    </row>
    <row r="84">
      <c r="A84" s="83" t="s">
        <v>448</v>
      </c>
    </row>
    <row r="85">
      <c r="A85" s="83" t="s">
        <v>449</v>
      </c>
    </row>
    <row r="86">
      <c r="A86" s="83" t="s">
        <v>450</v>
      </c>
    </row>
    <row r="87">
      <c r="A87" s="83" t="s">
        <v>451</v>
      </c>
    </row>
    <row r="88">
      <c r="A88" s="83" t="s">
        <v>441</v>
      </c>
    </row>
    <row r="89">
      <c r="A89" s="83" t="s">
        <v>452</v>
      </c>
    </row>
    <row r="91">
      <c r="A91" s="83" t="s">
        <v>432</v>
      </c>
    </row>
    <row r="92">
      <c r="A92" s="83" t="s">
        <v>453</v>
      </c>
    </row>
    <row r="93">
      <c r="A93" s="83" t="s">
        <v>454</v>
      </c>
    </row>
    <row r="95">
      <c r="A95" s="83" t="s">
        <v>455</v>
      </c>
    </row>
    <row r="96">
      <c r="A96" s="83" t="s">
        <v>223</v>
      </c>
    </row>
    <row r="98">
      <c r="A98" s="83" t="s">
        <v>456</v>
      </c>
    </row>
    <row r="99">
      <c r="A99" s="83" t="s">
        <v>457</v>
      </c>
    </row>
    <row r="100">
      <c r="A100" s="83" t="s">
        <v>458</v>
      </c>
    </row>
    <row r="101">
      <c r="A101" s="83" t="s">
        <v>459</v>
      </c>
    </row>
    <row r="103">
      <c r="A103" s="83" t="s">
        <v>460</v>
      </c>
    </row>
    <row r="104">
      <c r="A104" s="83" t="s">
        <v>461</v>
      </c>
    </row>
    <row r="105">
      <c r="A105" s="83" t="s">
        <v>462</v>
      </c>
    </row>
    <row r="107">
      <c r="A107" s="83" t="s">
        <v>463</v>
      </c>
    </row>
    <row r="108">
      <c r="A108" s="83" t="s">
        <v>464</v>
      </c>
    </row>
    <row r="109">
      <c r="A109" s="83" t="s">
        <v>465</v>
      </c>
    </row>
    <row r="111">
      <c r="A111" s="83" t="s">
        <v>466</v>
      </c>
    </row>
    <row r="112">
      <c r="A112" s="83" t="s">
        <v>223</v>
      </c>
    </row>
    <row r="114">
      <c r="A114" s="83" t="s">
        <v>467</v>
      </c>
    </row>
    <row r="115">
      <c r="A115" s="83" t="s">
        <v>468</v>
      </c>
    </row>
    <row r="116">
      <c r="A116" s="83" t="s">
        <v>469</v>
      </c>
    </row>
    <row r="117">
      <c r="A117" s="83" t="s">
        <v>470</v>
      </c>
    </row>
    <row r="119">
      <c r="A119" s="83" t="s">
        <v>471</v>
      </c>
    </row>
    <row r="120">
      <c r="A120" s="83" t="s">
        <v>472</v>
      </c>
    </row>
    <row r="121">
      <c r="A121" s="83" t="s">
        <v>473</v>
      </c>
    </row>
    <row r="122">
      <c r="A122" s="83" t="s">
        <v>474</v>
      </c>
    </row>
    <row r="123">
      <c r="A123" s="83" t="s">
        <v>223</v>
      </c>
    </row>
    <row r="125">
      <c r="A125" s="83" t="s">
        <v>475</v>
      </c>
    </row>
    <row r="126">
      <c r="A126" s="83" t="s">
        <v>476</v>
      </c>
    </row>
    <row r="128">
      <c r="A128" s="83" t="s">
        <v>477</v>
      </c>
    </row>
    <row r="129">
      <c r="A129" s="83" t="s">
        <v>478</v>
      </c>
    </row>
    <row r="130">
      <c r="A130" s="83" t="s">
        <v>479</v>
      </c>
    </row>
    <row r="131">
      <c r="A131" s="83" t="s">
        <v>480</v>
      </c>
    </row>
    <row r="132">
      <c r="A132" s="83" t="s">
        <v>481</v>
      </c>
    </row>
    <row r="134">
      <c r="A134" s="83" t="s">
        <v>482</v>
      </c>
    </row>
    <row r="135">
      <c r="A135" s="83" t="s">
        <v>483</v>
      </c>
    </row>
    <row r="137">
      <c r="A137" s="83" t="s">
        <v>484</v>
      </c>
    </row>
    <row r="138">
      <c r="A138" s="83" t="s">
        <v>485</v>
      </c>
    </row>
    <row r="140">
      <c r="A140" s="83" t="s">
        <v>486</v>
      </c>
    </row>
    <row r="141">
      <c r="A141" s="83" t="s">
        <v>487</v>
      </c>
    </row>
    <row r="142">
      <c r="A142" s="83" t="s">
        <v>488</v>
      </c>
    </row>
    <row r="144">
      <c r="A144" s="83" t="s">
        <v>489</v>
      </c>
    </row>
    <row r="145">
      <c r="A145" s="83" t="s">
        <v>490</v>
      </c>
    </row>
    <row r="147">
      <c r="A147" s="83" t="s">
        <v>491</v>
      </c>
    </row>
    <row r="148">
      <c r="A148" s="83" t="s">
        <v>492</v>
      </c>
    </row>
    <row r="149">
      <c r="A149" s="83" t="s">
        <v>493</v>
      </c>
    </row>
    <row r="150">
      <c r="A150" s="83" t="s">
        <v>494</v>
      </c>
    </row>
    <row r="151">
      <c r="A151" s="83" t="s">
        <v>223</v>
      </c>
    </row>
    <row r="153">
      <c r="A153" s="83" t="s">
        <v>495</v>
      </c>
    </row>
    <row r="154">
      <c r="A154" s="83" t="s">
        <v>496</v>
      </c>
    </row>
    <row r="155">
      <c r="A155" s="83" t="s">
        <v>497</v>
      </c>
    </row>
    <row r="156">
      <c r="A156" s="83" t="s">
        <v>223</v>
      </c>
    </row>
    <row r="158">
      <c r="A158" s="83" t="s">
        <v>498</v>
      </c>
    </row>
    <row r="159">
      <c r="A159" s="83" t="s">
        <v>499</v>
      </c>
    </row>
    <row r="160">
      <c r="A160" s="83" t="s">
        <v>500</v>
      </c>
    </row>
    <row r="161">
      <c r="A161" s="83" t="s">
        <v>223</v>
      </c>
    </row>
    <row r="163">
      <c r="A163" s="83" t="s">
        <v>501</v>
      </c>
    </row>
    <row r="164">
      <c r="A164" s="83" t="s">
        <v>502</v>
      </c>
    </row>
    <row r="165">
      <c r="A165" s="83" t="s">
        <v>503</v>
      </c>
    </row>
    <row r="166">
      <c r="A166" s="83" t="s">
        <v>504</v>
      </c>
    </row>
    <row r="167">
      <c r="A167" s="83" t="s">
        <v>223</v>
      </c>
    </row>
    <row r="168">
      <c r="A168" s="83" t="s">
        <v>505</v>
      </c>
    </row>
    <row r="169">
      <c r="A169" s="83" t="s">
        <v>497</v>
      </c>
    </row>
    <row r="171">
      <c r="A171" s="83" t="s">
        <v>506</v>
      </c>
    </row>
    <row r="172">
      <c r="A172" s="83" t="s">
        <v>507</v>
      </c>
    </row>
    <row r="173">
      <c r="A173" s="83" t="s">
        <v>508</v>
      </c>
    </row>
    <row r="174">
      <c r="A174" s="83" t="s">
        <v>509</v>
      </c>
    </row>
    <row r="175">
      <c r="A175" s="83" t="s">
        <v>510</v>
      </c>
    </row>
    <row r="176">
      <c r="A176" s="83" t="s">
        <v>223</v>
      </c>
    </row>
    <row r="178">
      <c r="A178" s="83" t="s">
        <v>511</v>
      </c>
    </row>
    <row r="179">
      <c r="A179" s="83" t="s">
        <v>512</v>
      </c>
    </row>
    <row r="180">
      <c r="A180" s="83" t="s">
        <v>513</v>
      </c>
    </row>
    <row r="181">
      <c r="A181" s="83" t="s">
        <v>223</v>
      </c>
    </row>
    <row r="183">
      <c r="A183" s="83" t="s">
        <v>514</v>
      </c>
    </row>
    <row r="184">
      <c r="A184" s="83" t="s">
        <v>494</v>
      </c>
    </row>
    <row r="185">
      <c r="A185" s="83" t="s">
        <v>223</v>
      </c>
    </row>
    <row r="187">
      <c r="A187" s="83" t="s">
        <v>515</v>
      </c>
    </row>
    <row r="188">
      <c r="A188" s="83" t="s">
        <v>516</v>
      </c>
    </row>
    <row r="189">
      <c r="A189" s="83" t="s">
        <v>517</v>
      </c>
    </row>
    <row r="190">
      <c r="A190" s="83" t="s">
        <v>518</v>
      </c>
    </row>
    <row r="191">
      <c r="A191" s="83" t="s">
        <v>223</v>
      </c>
    </row>
    <row r="192">
      <c r="A192" s="83" t="s">
        <v>519</v>
      </c>
    </row>
    <row r="194">
      <c r="A194" s="83" t="s">
        <v>520</v>
      </c>
    </row>
    <row r="195">
      <c r="A195" s="83" t="s">
        <v>521</v>
      </c>
    </row>
    <row r="196">
      <c r="A196" s="83" t="s">
        <v>522</v>
      </c>
    </row>
    <row r="197">
      <c r="A197" s="83" t="s">
        <v>223</v>
      </c>
    </row>
    <row r="199">
      <c r="A199" s="83" t="s">
        <v>497</v>
      </c>
    </row>
    <row r="200">
      <c r="A200" s="83" t="s">
        <v>523</v>
      </c>
    </row>
    <row r="202">
      <c r="A202" s="83" t="s">
        <v>524</v>
      </c>
    </row>
    <row r="203">
      <c r="A203" s="83" t="s">
        <v>525</v>
      </c>
    </row>
    <row r="205">
      <c r="A205" s="83" t="s">
        <v>526</v>
      </c>
    </row>
    <row r="206">
      <c r="A206" s="83" t="s">
        <v>479</v>
      </c>
    </row>
    <row r="207">
      <c r="A207" s="83" t="s">
        <v>527</v>
      </c>
    </row>
    <row r="208">
      <c r="A208" s="83" t="s">
        <v>528</v>
      </c>
    </row>
    <row r="209">
      <c r="A209" s="83" t="s">
        <v>529</v>
      </c>
    </row>
    <row r="210">
      <c r="A210" s="83" t="s">
        <v>530</v>
      </c>
    </row>
    <row r="211">
      <c r="A211" s="83" t="s">
        <v>223</v>
      </c>
    </row>
    <row r="213">
      <c r="A213" s="83" t="s">
        <v>531</v>
      </c>
    </row>
    <row r="214">
      <c r="A214" s="83" t="s">
        <v>494</v>
      </c>
    </row>
    <row r="215">
      <c r="A215" s="83" t="s">
        <v>223</v>
      </c>
    </row>
    <row r="217">
      <c r="A217" s="83" t="s">
        <v>532</v>
      </c>
    </row>
    <row r="218">
      <c r="A218" s="83" t="s">
        <v>533</v>
      </c>
    </row>
    <row r="219">
      <c r="A219" s="83" t="s">
        <v>534</v>
      </c>
    </row>
    <row r="220">
      <c r="A220" s="83" t="s">
        <v>535</v>
      </c>
    </row>
    <row r="221">
      <c r="A221" s="83" t="s">
        <v>536</v>
      </c>
    </row>
    <row r="222">
      <c r="A222" s="83" t="s">
        <v>537</v>
      </c>
    </row>
    <row r="223">
      <c r="A223" s="83" t="s">
        <v>538</v>
      </c>
    </row>
    <row r="224">
      <c r="A224" s="83" t="s">
        <v>539</v>
      </c>
    </row>
    <row r="225">
      <c r="A225" s="83" t="s">
        <v>540</v>
      </c>
    </row>
    <row r="226">
      <c r="A226" s="83" t="s">
        <v>494</v>
      </c>
    </row>
    <row r="227">
      <c r="A227" s="83" t="s">
        <v>223</v>
      </c>
    </row>
    <row r="228">
      <c r="A228" s="83" t="s">
        <v>223</v>
      </c>
    </row>
    <row r="230">
      <c r="A230" s="83" t="s">
        <v>541</v>
      </c>
    </row>
    <row r="231">
      <c r="A231" s="83" t="s">
        <v>542</v>
      </c>
    </row>
    <row r="232">
      <c r="A232" s="83" t="s">
        <v>543</v>
      </c>
    </row>
    <row r="233">
      <c r="A233" s="83" t="s">
        <v>537</v>
      </c>
    </row>
    <row r="234">
      <c r="A234" s="83" t="s">
        <v>544</v>
      </c>
    </row>
    <row r="235">
      <c r="A235" s="83" t="s">
        <v>539</v>
      </c>
    </row>
    <row r="236">
      <c r="A236" s="83" t="s">
        <v>545</v>
      </c>
    </row>
    <row r="237">
      <c r="A237" s="83" t="s">
        <v>494</v>
      </c>
    </row>
    <row r="238">
      <c r="A238" s="83" t="s">
        <v>223</v>
      </c>
    </row>
    <row r="240">
      <c r="A240" s="83" t="s">
        <v>546</v>
      </c>
    </row>
    <row r="241">
      <c r="A241" s="83" t="s">
        <v>547</v>
      </c>
    </row>
    <row r="242">
      <c r="A242" s="83" t="s">
        <v>548</v>
      </c>
    </row>
    <row r="243">
      <c r="A243" s="83" t="s">
        <v>494</v>
      </c>
    </row>
    <row r="244">
      <c r="A244" s="83" t="s">
        <v>223</v>
      </c>
    </row>
    <row r="246">
      <c r="A246" s="83" t="s">
        <v>528</v>
      </c>
    </row>
    <row r="247">
      <c r="A247" s="83" t="s">
        <v>549</v>
      </c>
    </row>
    <row r="248">
      <c r="A248" s="83" t="s">
        <v>550</v>
      </c>
    </row>
    <row r="249">
      <c r="A249" s="83" t="s">
        <v>223</v>
      </c>
    </row>
    <row r="250">
      <c r="A250" s="83" t="s">
        <v>223</v>
      </c>
    </row>
    <row r="252">
      <c r="A252" s="83" t="s">
        <v>551</v>
      </c>
    </row>
    <row r="253">
      <c r="A253" s="83" t="s">
        <v>552</v>
      </c>
    </row>
    <row r="254">
      <c r="A254" s="83" t="s">
        <v>553</v>
      </c>
    </row>
    <row r="255">
      <c r="A255" s="83" t="s">
        <v>554</v>
      </c>
    </row>
    <row r="256">
      <c r="A256" s="83" t="s">
        <v>555</v>
      </c>
    </row>
    <row r="257">
      <c r="A257" s="83" t="s">
        <v>556</v>
      </c>
    </row>
    <row r="258">
      <c r="A258" s="83" t="s">
        <v>557</v>
      </c>
    </row>
    <row r="259">
      <c r="A259" s="83" t="s">
        <v>558</v>
      </c>
    </row>
    <row r="260">
      <c r="A260" s="83" t="s">
        <v>559</v>
      </c>
    </row>
    <row r="261">
      <c r="A261" s="83" t="s">
        <v>560</v>
      </c>
    </row>
    <row r="262">
      <c r="A262" s="83" t="s">
        <v>561</v>
      </c>
    </row>
    <row r="263">
      <c r="A263" s="83" t="s">
        <v>562</v>
      </c>
    </row>
    <row r="264">
      <c r="A264" s="83" t="s">
        <v>563</v>
      </c>
    </row>
    <row r="265">
      <c r="A265" s="83" t="s">
        <v>564</v>
      </c>
    </row>
    <row r="266">
      <c r="A266" s="83" t="s">
        <v>565</v>
      </c>
    </row>
    <row r="267">
      <c r="A267" s="83" t="s">
        <v>566</v>
      </c>
    </row>
    <row r="268">
      <c r="A268" s="83" t="s">
        <v>567</v>
      </c>
    </row>
    <row r="269">
      <c r="A269" s="83" t="s">
        <v>568</v>
      </c>
    </row>
    <row r="270">
      <c r="A270" s="83" t="s">
        <v>569</v>
      </c>
    </row>
    <row r="271">
      <c r="A271" s="83" t="s">
        <v>570</v>
      </c>
    </row>
    <row r="272">
      <c r="A272" s="83" t="s">
        <v>571</v>
      </c>
    </row>
    <row r="273">
      <c r="A273" s="83" t="s">
        <v>572</v>
      </c>
    </row>
    <row r="274">
      <c r="A274" s="83" t="s">
        <v>573</v>
      </c>
    </row>
    <row r="275">
      <c r="A275" s="83" t="s">
        <v>574</v>
      </c>
    </row>
    <row r="276">
      <c r="A276" s="83" t="s">
        <v>575</v>
      </c>
    </row>
    <row r="277">
      <c r="A277" s="83" t="s">
        <v>576</v>
      </c>
    </row>
    <row r="278">
      <c r="A278" s="83" t="s">
        <v>577</v>
      </c>
    </row>
    <row r="279">
      <c r="A279" s="83" t="s">
        <v>578</v>
      </c>
    </row>
    <row r="280">
      <c r="A280" s="83" t="s">
        <v>579</v>
      </c>
    </row>
    <row r="281">
      <c r="A281" s="83" t="s">
        <v>580</v>
      </c>
    </row>
    <row r="282">
      <c r="A282" s="83" t="s">
        <v>220</v>
      </c>
    </row>
    <row r="284">
      <c r="A284" s="83" t="s">
        <v>581</v>
      </c>
    </row>
    <row r="286">
      <c r="A286" s="83" t="s">
        <v>582</v>
      </c>
    </row>
    <row r="287">
      <c r="A287" s="83" t="s">
        <v>583</v>
      </c>
    </row>
    <row r="288">
      <c r="A288" s="83" t="s">
        <v>584</v>
      </c>
    </row>
    <row r="289">
      <c r="A289" s="83" t="s">
        <v>585</v>
      </c>
    </row>
    <row r="291">
      <c r="A291" s="83" t="s">
        <v>586</v>
      </c>
    </row>
    <row r="292">
      <c r="A292" s="83" t="s">
        <v>587</v>
      </c>
    </row>
    <row r="293">
      <c r="A293" s="83" t="s">
        <v>588</v>
      </c>
    </row>
    <row r="294">
      <c r="A294" s="83" t="s">
        <v>223</v>
      </c>
    </row>
    <row r="296">
      <c r="A296" s="83" t="s">
        <v>589</v>
      </c>
    </row>
    <row r="297">
      <c r="A297" s="83" t="s">
        <v>590</v>
      </c>
    </row>
    <row r="298">
      <c r="A298" s="83" t="s">
        <v>591</v>
      </c>
    </row>
    <row r="299">
      <c r="A299" s="83" t="s">
        <v>592</v>
      </c>
    </row>
    <row r="300">
      <c r="A300" s="83" t="s">
        <v>593</v>
      </c>
    </row>
    <row r="301">
      <c r="A301" s="83" t="s">
        <v>594</v>
      </c>
    </row>
    <row r="302">
      <c r="A302" s="83" t="s">
        <v>595</v>
      </c>
    </row>
    <row r="303">
      <c r="A303" s="83" t="s">
        <v>596</v>
      </c>
    </row>
    <row r="304">
      <c r="A304" s="83" t="s">
        <v>223</v>
      </c>
    </row>
    <row r="305">
      <c r="A305" s="83" t="s">
        <v>223</v>
      </c>
    </row>
    <row r="307">
      <c r="A307" s="83" t="s">
        <v>597</v>
      </c>
    </row>
    <row r="308">
      <c r="A308" s="83" t="s">
        <v>598</v>
      </c>
    </row>
    <row r="309">
      <c r="A309" s="83" t="s">
        <v>223</v>
      </c>
    </row>
    <row r="310">
      <c r="A310" s="83" t="s">
        <v>599</v>
      </c>
    </row>
    <row r="311">
      <c r="A311" s="83" t="s">
        <v>223</v>
      </c>
    </row>
    <row r="313">
      <c r="A313" s="83" t="s">
        <v>600</v>
      </c>
    </row>
    <row r="314">
      <c r="A314" s="83" t="s">
        <v>601</v>
      </c>
    </row>
    <row r="315">
      <c r="A315" s="83" t="s">
        <v>602</v>
      </c>
    </row>
    <row r="316">
      <c r="A316" s="83" t="s">
        <v>603</v>
      </c>
    </row>
    <row r="317">
      <c r="A317" s="83" t="s">
        <v>604</v>
      </c>
    </row>
    <row r="318">
      <c r="A318" s="83" t="s">
        <v>605</v>
      </c>
    </row>
    <row r="320">
      <c r="A320" s="83" t="s">
        <v>606</v>
      </c>
    </row>
    <row r="321">
      <c r="A321" s="83" t="s">
        <v>607</v>
      </c>
    </row>
    <row r="323">
      <c r="A323" s="83" t="s">
        <v>608</v>
      </c>
    </row>
    <row r="324">
      <c r="A324" s="83" t="s">
        <v>609</v>
      </c>
    </row>
    <row r="325">
      <c r="A325" s="83" t="s">
        <v>610</v>
      </c>
    </row>
    <row r="326">
      <c r="A326" s="83" t="s">
        <v>611</v>
      </c>
    </row>
    <row r="327">
      <c r="A327" s="83" t="s">
        <v>223</v>
      </c>
    </row>
    <row r="329">
      <c r="A329" s="83" t="s">
        <v>612</v>
      </c>
    </row>
    <row r="330">
      <c r="A330" s="83" t="s">
        <v>613</v>
      </c>
    </row>
    <row r="331">
      <c r="A331" s="83" t="s">
        <v>614</v>
      </c>
    </row>
    <row r="332">
      <c r="A332" s="83" t="s">
        <v>615</v>
      </c>
    </row>
    <row r="334">
      <c r="A334" s="83" t="s">
        <v>616</v>
      </c>
    </row>
    <row r="335">
      <c r="A335" s="83" t="s">
        <v>617</v>
      </c>
    </row>
    <row r="336">
      <c r="A336" s="83" t="s">
        <v>618</v>
      </c>
    </row>
    <row r="338">
      <c r="A338" s="83" t="s">
        <v>619</v>
      </c>
    </row>
    <row r="339">
      <c r="A339" s="83" t="s">
        <v>620</v>
      </c>
    </row>
    <row r="340">
      <c r="A340" s="83" t="s">
        <v>621</v>
      </c>
    </row>
    <row r="341">
      <c r="A341" s="83" t="s">
        <v>622</v>
      </c>
    </row>
    <row r="342">
      <c r="A342" s="83" t="s">
        <v>623</v>
      </c>
    </row>
    <row r="344">
      <c r="A344" s="83" t="s">
        <v>624</v>
      </c>
    </row>
    <row r="345">
      <c r="A345" s="83" t="s">
        <v>625</v>
      </c>
    </row>
    <row r="346">
      <c r="A346" s="83" t="s">
        <v>626</v>
      </c>
    </row>
    <row r="347">
      <c r="A347" s="83" t="s">
        <v>627</v>
      </c>
    </row>
    <row r="348">
      <c r="A348" s="83" t="s">
        <v>628</v>
      </c>
    </row>
    <row r="349">
      <c r="A349" s="83" t="s">
        <v>223</v>
      </c>
    </row>
    <row r="350">
      <c r="A350" s="83" t="s">
        <v>223</v>
      </c>
    </row>
    <row r="352">
      <c r="A352" s="83" t="s">
        <v>629</v>
      </c>
    </row>
    <row r="353">
      <c r="A353" s="83" t="s">
        <v>630</v>
      </c>
    </row>
    <row r="354">
      <c r="A354" s="83" t="s">
        <v>631</v>
      </c>
    </row>
    <row r="355">
      <c r="A355" s="83" t="s">
        <v>632</v>
      </c>
    </row>
    <row r="356">
      <c r="A356" s="83" t="s">
        <v>633</v>
      </c>
    </row>
    <row r="357">
      <c r="A357" s="83" t="s">
        <v>634</v>
      </c>
    </row>
    <row r="358">
      <c r="A358" s="83" t="s">
        <v>223</v>
      </c>
    </row>
    <row r="360">
      <c r="A360" s="83" t="s">
        <v>635</v>
      </c>
    </row>
    <row r="361">
      <c r="A361" s="83" t="s">
        <v>636</v>
      </c>
    </row>
    <row r="362">
      <c r="A362" s="83" t="s">
        <v>637</v>
      </c>
    </row>
    <row r="363">
      <c r="A363" s="83" t="s">
        <v>638</v>
      </c>
    </row>
    <row r="364">
      <c r="A364" s="83" t="s">
        <v>639</v>
      </c>
    </row>
    <row r="365">
      <c r="A365" s="83" t="s">
        <v>223</v>
      </c>
    </row>
    <row r="366">
      <c r="A366" s="83" t="s">
        <v>223</v>
      </c>
    </row>
    <row r="368">
      <c r="A368" s="83" t="s">
        <v>640</v>
      </c>
    </row>
    <row r="369">
      <c r="A369" s="83" t="s">
        <v>641</v>
      </c>
    </row>
    <row r="370">
      <c r="A370" s="83" t="s">
        <v>642</v>
      </c>
    </row>
    <row r="372">
      <c r="A372" s="83" t="s">
        <v>643</v>
      </c>
    </row>
    <row r="373">
      <c r="A373" s="83" t="s">
        <v>644</v>
      </c>
    </row>
    <row r="374">
      <c r="A374" s="83" t="s">
        <v>645</v>
      </c>
    </row>
    <row r="376">
      <c r="A376" s="83" t="s">
        <v>646</v>
      </c>
    </row>
    <row r="377">
      <c r="A377" s="83" t="s">
        <v>647</v>
      </c>
    </row>
    <row r="378">
      <c r="A378" s="83" t="s">
        <v>648</v>
      </c>
    </row>
    <row r="379">
      <c r="A379" s="83" t="s">
        <v>649</v>
      </c>
    </row>
    <row r="381">
      <c r="A381" s="83" t="s">
        <v>650</v>
      </c>
    </row>
    <row r="383">
      <c r="A383" s="83" t="s">
        <v>651</v>
      </c>
    </row>
    <row r="385">
      <c r="A385" s="83" t="s">
        <v>652</v>
      </c>
    </row>
    <row r="386">
      <c r="A386" s="83" t="s">
        <v>653</v>
      </c>
    </row>
    <row r="387">
      <c r="A387" s="83" t="s">
        <v>654</v>
      </c>
    </row>
    <row r="388">
      <c r="A388" s="83" t="s">
        <v>655</v>
      </c>
    </row>
    <row r="390">
      <c r="A390" s="83" t="s">
        <v>656</v>
      </c>
    </row>
    <row r="391">
      <c r="A391" s="83" t="s">
        <v>657</v>
      </c>
    </row>
    <row r="392">
      <c r="A392" s="83" t="s">
        <v>658</v>
      </c>
    </row>
    <row r="394">
      <c r="A394" s="83" t="s">
        <v>659</v>
      </c>
    </row>
    <row r="395">
      <c r="A395" s="83" t="s">
        <v>660</v>
      </c>
    </row>
    <row r="396">
      <c r="A396" s="83" t="s">
        <v>661</v>
      </c>
    </row>
    <row r="397">
      <c r="A397" s="83" t="s">
        <v>662</v>
      </c>
    </row>
    <row r="398">
      <c r="A398" s="83" t="s">
        <v>223</v>
      </c>
    </row>
    <row r="400">
      <c r="A400" s="83" t="s">
        <v>663</v>
      </c>
    </row>
    <row r="401">
      <c r="A401" s="83" t="s">
        <v>664</v>
      </c>
    </row>
    <row r="402">
      <c r="A402" s="83" t="s">
        <v>665</v>
      </c>
    </row>
    <row r="404">
      <c r="A404" s="83" t="s">
        <v>479</v>
      </c>
    </row>
    <row r="405">
      <c r="A405" s="83" t="s">
        <v>651</v>
      </c>
    </row>
    <row r="406">
      <c r="A406" s="83" t="s">
        <v>666</v>
      </c>
    </row>
    <row r="407">
      <c r="A407" s="83" t="s">
        <v>667</v>
      </c>
    </row>
    <row r="408">
      <c r="A408" s="83" t="s">
        <v>654</v>
      </c>
    </row>
    <row r="410">
      <c r="A410" s="83" t="s">
        <v>668</v>
      </c>
    </row>
    <row r="411">
      <c r="A411" s="83" t="s">
        <v>655</v>
      </c>
    </row>
    <row r="413">
      <c r="A413" s="83" t="s">
        <v>656</v>
      </c>
    </row>
    <row r="414">
      <c r="A414" s="83" t="s">
        <v>669</v>
      </c>
    </row>
    <row r="415">
      <c r="A415" s="83" t="s">
        <v>658</v>
      </c>
    </row>
    <row r="417">
      <c r="A417" s="83" t="s">
        <v>659</v>
      </c>
    </row>
    <row r="418">
      <c r="A418" s="83" t="s">
        <v>660</v>
      </c>
    </row>
    <row r="419">
      <c r="A419" s="83" t="s">
        <v>661</v>
      </c>
    </row>
    <row r="421">
      <c r="A421" s="83" t="s">
        <v>670</v>
      </c>
    </row>
    <row r="422">
      <c r="A422" s="83" t="s">
        <v>528</v>
      </c>
    </row>
    <row r="423">
      <c r="A423" s="83" t="s">
        <v>671</v>
      </c>
    </row>
    <row r="424">
      <c r="A424" s="83" t="s">
        <v>223</v>
      </c>
    </row>
    <row r="425">
      <c r="A425" s="83" t="s">
        <v>223</v>
      </c>
    </row>
    <row r="427">
      <c r="A427" s="83" t="s">
        <v>672</v>
      </c>
    </row>
    <row r="428">
      <c r="A428" s="83" t="s">
        <v>673</v>
      </c>
    </row>
    <row r="429">
      <c r="A429" s="83" t="s">
        <v>674</v>
      </c>
    </row>
    <row r="430">
      <c r="A430" s="83" t="s">
        <v>675</v>
      </c>
    </row>
    <row r="431">
      <c r="A431" s="83" t="s">
        <v>223</v>
      </c>
    </row>
    <row r="433">
      <c r="A433" s="83" t="s">
        <v>676</v>
      </c>
    </row>
    <row r="434">
      <c r="A434" s="83" t="s">
        <v>677</v>
      </c>
    </row>
    <row r="435">
      <c r="A435" s="83" t="s">
        <v>678</v>
      </c>
    </row>
    <row r="437">
      <c r="A437" s="83" t="s">
        <v>508</v>
      </c>
    </row>
    <row r="438">
      <c r="A438" s="83" t="s">
        <v>679</v>
      </c>
    </row>
    <row r="440">
      <c r="A440" s="83" t="s">
        <v>680</v>
      </c>
    </row>
    <row r="441">
      <c r="A441" s="83" t="s">
        <v>681</v>
      </c>
    </row>
    <row r="442">
      <c r="A442" s="83" t="s">
        <v>682</v>
      </c>
    </row>
    <row r="444">
      <c r="A444" s="83" t="s">
        <v>683</v>
      </c>
    </row>
    <row r="445">
      <c r="A445" s="83" t="s">
        <v>684</v>
      </c>
    </row>
    <row r="447">
      <c r="A447" s="83" t="s">
        <v>685</v>
      </c>
    </row>
    <row r="448">
      <c r="A448" s="83" t="s">
        <v>686</v>
      </c>
    </row>
    <row r="449">
      <c r="A449" s="83" t="s">
        <v>687</v>
      </c>
    </row>
    <row r="450">
      <c r="A450" s="83" t="s">
        <v>223</v>
      </c>
    </row>
    <row r="452">
      <c r="A452" s="83" t="s">
        <v>688</v>
      </c>
    </row>
    <row r="453">
      <c r="A453" s="83" t="s">
        <v>689</v>
      </c>
    </row>
    <row r="454">
      <c r="A454" s="83" t="s">
        <v>690</v>
      </c>
    </row>
    <row r="455">
      <c r="A455" s="83" t="s">
        <v>678</v>
      </c>
    </row>
    <row r="457">
      <c r="A457" s="83" t="s">
        <v>508</v>
      </c>
    </row>
    <row r="458">
      <c r="A458" s="83" t="s">
        <v>679</v>
      </c>
    </row>
    <row r="460">
      <c r="A460" s="83" t="s">
        <v>680</v>
      </c>
    </row>
    <row r="461">
      <c r="A461" s="83" t="s">
        <v>682</v>
      </c>
    </row>
    <row r="463">
      <c r="A463" s="83" t="s">
        <v>691</v>
      </c>
    </row>
    <row r="464">
      <c r="A464" s="83" t="s">
        <v>692</v>
      </c>
    </row>
    <row r="465">
      <c r="A465" s="83" t="s">
        <v>693</v>
      </c>
    </row>
    <row r="466">
      <c r="A466" s="83" t="s">
        <v>694</v>
      </c>
    </row>
    <row r="468">
      <c r="A468" s="83" t="s">
        <v>695</v>
      </c>
    </row>
    <row r="469">
      <c r="A469" s="83" t="s">
        <v>696</v>
      </c>
    </row>
    <row r="471">
      <c r="A471" s="83" t="s">
        <v>697</v>
      </c>
    </row>
    <row r="472">
      <c r="A472" s="83" t="s">
        <v>698</v>
      </c>
    </row>
    <row r="473">
      <c r="A473" s="83" t="s">
        <v>699</v>
      </c>
    </row>
    <row r="474">
      <c r="A474" s="83" t="s">
        <v>686</v>
      </c>
    </row>
    <row r="475">
      <c r="A475" s="83" t="s">
        <v>700</v>
      </c>
    </row>
    <row r="477">
      <c r="A477" s="83" t="s">
        <v>701</v>
      </c>
    </row>
    <row r="478">
      <c r="A478" s="83" t="s">
        <v>702</v>
      </c>
    </row>
    <row r="479">
      <c r="A479" s="83" t="s">
        <v>703</v>
      </c>
    </row>
    <row r="480">
      <c r="A480" s="83" t="s">
        <v>704</v>
      </c>
    </row>
    <row r="481">
      <c r="A481" s="83" t="s">
        <v>705</v>
      </c>
    </row>
    <row r="482">
      <c r="A482" s="83" t="s">
        <v>706</v>
      </c>
    </row>
    <row r="483">
      <c r="A483" s="83" t="s">
        <v>707</v>
      </c>
    </row>
    <row r="484">
      <c r="A484" s="83" t="s">
        <v>662</v>
      </c>
    </row>
    <row r="485">
      <c r="A485" s="83" t="s">
        <v>223</v>
      </c>
    </row>
    <row r="487">
      <c r="A487" s="83" t="s">
        <v>708</v>
      </c>
    </row>
    <row r="488">
      <c r="A488" s="83" t="s">
        <v>709</v>
      </c>
    </row>
    <row r="489">
      <c r="A489" s="83" t="s">
        <v>710</v>
      </c>
    </row>
    <row r="490">
      <c r="A490" s="83" t="s">
        <v>711</v>
      </c>
    </row>
    <row r="491">
      <c r="A491" s="83" t="s">
        <v>712</v>
      </c>
    </row>
    <row r="492">
      <c r="A492" s="83" t="s">
        <v>494</v>
      </c>
    </row>
    <row r="493">
      <c r="A493" s="83" t="s">
        <v>223</v>
      </c>
    </row>
    <row r="494">
      <c r="A494" s="83" t="s">
        <v>713</v>
      </c>
    </row>
    <row r="495">
      <c r="A495" s="83" t="s">
        <v>714</v>
      </c>
    </row>
    <row r="496">
      <c r="A496" s="83" t="s">
        <v>715</v>
      </c>
    </row>
    <row r="497">
      <c r="A497" s="83" t="s">
        <v>494</v>
      </c>
    </row>
    <row r="498">
      <c r="A498" s="83" t="s">
        <v>223</v>
      </c>
    </row>
    <row r="499">
      <c r="A499" s="83" t="s">
        <v>490</v>
      </c>
    </row>
    <row r="500">
      <c r="A500" s="83" t="s">
        <v>497</v>
      </c>
    </row>
    <row r="501">
      <c r="A501" s="83" t="s">
        <v>716</v>
      </c>
    </row>
    <row r="502">
      <c r="A502" s="83" t="s">
        <v>717</v>
      </c>
    </row>
    <row r="503">
      <c r="A503" s="83" t="s">
        <v>223</v>
      </c>
    </row>
    <row r="505">
      <c r="A505" s="83" t="s">
        <v>718</v>
      </c>
    </row>
    <row r="506">
      <c r="A506" s="83" t="s">
        <v>719</v>
      </c>
    </row>
    <row r="508">
      <c r="A508" s="83" t="s">
        <v>508</v>
      </c>
    </row>
    <row r="509">
      <c r="A509" s="83" t="s">
        <v>720</v>
      </c>
    </row>
    <row r="510">
      <c r="A510" s="83" t="s">
        <v>679</v>
      </c>
    </row>
    <row r="512">
      <c r="A512" s="83" t="s">
        <v>721</v>
      </c>
    </row>
    <row r="513">
      <c r="A513" s="83" t="s">
        <v>722</v>
      </c>
    </row>
    <row r="514">
      <c r="A514" s="83" t="s">
        <v>723</v>
      </c>
    </row>
    <row r="515">
      <c r="A515" s="83" t="s">
        <v>724</v>
      </c>
    </row>
    <row r="516">
      <c r="A516" s="83" t="s">
        <v>223</v>
      </c>
    </row>
    <row r="518">
      <c r="A518" s="83" t="s">
        <v>725</v>
      </c>
    </row>
    <row r="519">
      <c r="A519" s="83" t="s">
        <v>726</v>
      </c>
    </row>
    <row r="520">
      <c r="A520" s="83" t="s">
        <v>727</v>
      </c>
    </row>
    <row r="521">
      <c r="A521" s="83" t="s">
        <v>728</v>
      </c>
    </row>
    <row r="522">
      <c r="A522" s="83" t="s">
        <v>223</v>
      </c>
    </row>
    <row r="523">
      <c r="A523" s="83" t="s">
        <v>729</v>
      </c>
    </row>
    <row r="525">
      <c r="A525" s="83" t="s">
        <v>730</v>
      </c>
    </row>
    <row r="526">
      <c r="A526" s="83" t="s">
        <v>731</v>
      </c>
    </row>
    <row r="528">
      <c r="A528" s="83" t="s">
        <v>680</v>
      </c>
    </row>
    <row r="529">
      <c r="A529" s="83" t="s">
        <v>681</v>
      </c>
    </row>
    <row r="530">
      <c r="A530" s="83" t="s">
        <v>682</v>
      </c>
    </row>
    <row r="532">
      <c r="A532" s="83" t="s">
        <v>683</v>
      </c>
    </row>
    <row r="533">
      <c r="A533" s="83" t="s">
        <v>732</v>
      </c>
    </row>
    <row r="534">
      <c r="A534" s="83" t="s">
        <v>733</v>
      </c>
    </row>
    <row r="536">
      <c r="A536" s="83" t="s">
        <v>734</v>
      </c>
    </row>
    <row r="538">
      <c r="A538" s="83" t="s">
        <v>735</v>
      </c>
    </row>
    <row r="539">
      <c r="A539" s="83" t="s">
        <v>736</v>
      </c>
    </row>
    <row r="540">
      <c r="A540" s="83" t="s">
        <v>737</v>
      </c>
    </row>
    <row r="541">
      <c r="A541" s="83" t="s">
        <v>738</v>
      </c>
    </row>
    <row r="542">
      <c r="A542" s="83" t="s">
        <v>739</v>
      </c>
    </row>
    <row r="544">
      <c r="A544" s="83" t="s">
        <v>740</v>
      </c>
    </row>
    <row r="545">
      <c r="A545" s="83" t="s">
        <v>741</v>
      </c>
    </row>
    <row r="547">
      <c r="A547" s="83" t="s">
        <v>742</v>
      </c>
    </row>
    <row r="548">
      <c r="A548" s="83" t="s">
        <v>743</v>
      </c>
    </row>
    <row r="549">
      <c r="A549" s="83" t="s">
        <v>744</v>
      </c>
    </row>
    <row r="550">
      <c r="A550" s="83" t="s">
        <v>745</v>
      </c>
    </row>
    <row r="551">
      <c r="A551" s="83" t="s">
        <v>746</v>
      </c>
    </row>
    <row r="552">
      <c r="A552" s="83" t="s">
        <v>747</v>
      </c>
    </row>
    <row r="553">
      <c r="A553" s="83" t="s">
        <v>748</v>
      </c>
    </row>
    <row r="554">
      <c r="A554" s="83" t="s">
        <v>749</v>
      </c>
    </row>
    <row r="555">
      <c r="A555" s="83" t="s">
        <v>750</v>
      </c>
    </row>
    <row r="556">
      <c r="A556" s="83" t="s">
        <v>751</v>
      </c>
    </row>
    <row r="557">
      <c r="A557" s="83" t="s">
        <v>749</v>
      </c>
    </row>
    <row r="558">
      <c r="A558" s="83" t="s">
        <v>749</v>
      </c>
    </row>
    <row r="560">
      <c r="A560" s="83" t="s">
        <v>752</v>
      </c>
    </row>
    <row r="561">
      <c r="A561" s="83" t="s">
        <v>753</v>
      </c>
    </row>
    <row r="562">
      <c r="A562" s="83" t="s">
        <v>754</v>
      </c>
    </row>
    <row r="563">
      <c r="A563" s="83" t="s">
        <v>755</v>
      </c>
    </row>
    <row r="564">
      <c r="A564" s="83" t="s">
        <v>756</v>
      </c>
    </row>
    <row r="565">
      <c r="A565" s="83" t="s">
        <v>757</v>
      </c>
    </row>
    <row r="566">
      <c r="A566" s="83" t="s">
        <v>758</v>
      </c>
    </row>
    <row r="567">
      <c r="A567" s="83" t="s">
        <v>755</v>
      </c>
    </row>
    <row r="568">
      <c r="A568" s="83" t="s">
        <v>759</v>
      </c>
    </row>
    <row r="569">
      <c r="A569" s="83" t="s">
        <v>760</v>
      </c>
    </row>
    <row r="570">
      <c r="A570" s="83" t="s">
        <v>758</v>
      </c>
    </row>
    <row r="571">
      <c r="A571" s="83" t="s">
        <v>755</v>
      </c>
    </row>
    <row r="572">
      <c r="A572" s="83" t="s">
        <v>761</v>
      </c>
    </row>
    <row r="573">
      <c r="A573" s="83" t="s">
        <v>762</v>
      </c>
    </row>
    <row r="574">
      <c r="A574" s="83" t="s">
        <v>758</v>
      </c>
    </row>
    <row r="575">
      <c r="A575" s="83" t="s">
        <v>755</v>
      </c>
    </row>
    <row r="576">
      <c r="A576" s="83" t="s">
        <v>763</v>
      </c>
    </row>
    <row r="577">
      <c r="A577" s="83" t="s">
        <v>764</v>
      </c>
    </row>
    <row r="578">
      <c r="A578" s="83" t="s">
        <v>758</v>
      </c>
    </row>
    <row r="579">
      <c r="A579" s="83" t="s">
        <v>765</v>
      </c>
    </row>
    <row r="580">
      <c r="A580" s="83" t="s">
        <v>749</v>
      </c>
    </row>
    <row r="582">
      <c r="A582" s="83" t="s">
        <v>766</v>
      </c>
    </row>
    <row r="583">
      <c r="A583" s="83" t="s">
        <v>767</v>
      </c>
    </row>
    <row r="584">
      <c r="A584" s="83" t="s">
        <v>768</v>
      </c>
    </row>
    <row r="585">
      <c r="A585" s="83" t="s">
        <v>755</v>
      </c>
    </row>
    <row r="586">
      <c r="A586" s="83" t="s">
        <v>769</v>
      </c>
    </row>
    <row r="587">
      <c r="A587" s="83" t="s">
        <v>770</v>
      </c>
    </row>
    <row r="588">
      <c r="A588" s="83" t="s">
        <v>758</v>
      </c>
    </row>
    <row r="589">
      <c r="A589" s="83" t="s">
        <v>755</v>
      </c>
    </row>
    <row r="590">
      <c r="A590" s="83" t="s">
        <v>771</v>
      </c>
    </row>
    <row r="591">
      <c r="A591" s="83" t="s">
        <v>772</v>
      </c>
    </row>
    <row r="592">
      <c r="A592" s="83" t="s">
        <v>758</v>
      </c>
    </row>
    <row r="593">
      <c r="A593" s="83" t="s">
        <v>755</v>
      </c>
    </row>
    <row r="594">
      <c r="A594" s="83" t="s">
        <v>773</v>
      </c>
    </row>
    <row r="595">
      <c r="A595" s="83" t="s">
        <v>774</v>
      </c>
    </row>
    <row r="596">
      <c r="A596" s="83" t="s">
        <v>758</v>
      </c>
    </row>
    <row r="597">
      <c r="A597" s="83" t="s">
        <v>755</v>
      </c>
    </row>
    <row r="598">
      <c r="A598" s="83" t="s">
        <v>775</v>
      </c>
    </row>
    <row r="599">
      <c r="A599" s="83" t="s">
        <v>776</v>
      </c>
    </row>
    <row r="600">
      <c r="A600" s="83" t="s">
        <v>758</v>
      </c>
    </row>
    <row r="601">
      <c r="A601" s="83" t="s">
        <v>755</v>
      </c>
    </row>
    <row r="602">
      <c r="A602" s="83" t="s">
        <v>777</v>
      </c>
    </row>
    <row r="603">
      <c r="A603" s="83" t="s">
        <v>778</v>
      </c>
    </row>
    <row r="604">
      <c r="A604" s="83" t="s">
        <v>758</v>
      </c>
    </row>
    <row r="605">
      <c r="A605" s="83" t="s">
        <v>765</v>
      </c>
    </row>
    <row r="606">
      <c r="A606" s="83" t="s">
        <v>749</v>
      </c>
    </row>
    <row r="608">
      <c r="A608" s="83" t="s">
        <v>752</v>
      </c>
    </row>
    <row r="609">
      <c r="A609" s="83" t="s">
        <v>779</v>
      </c>
    </row>
    <row r="610">
      <c r="A610" s="83" t="s">
        <v>780</v>
      </c>
    </row>
    <row r="611">
      <c r="A611" s="83" t="s">
        <v>781</v>
      </c>
    </row>
    <row r="612">
      <c r="A612" s="83" t="s">
        <v>782</v>
      </c>
    </row>
    <row r="613">
      <c r="A613" s="83" t="s">
        <v>783</v>
      </c>
    </row>
    <row r="614">
      <c r="A614" s="83" t="s">
        <v>758</v>
      </c>
    </row>
    <row r="615">
      <c r="A615" s="83" t="s">
        <v>784</v>
      </c>
    </row>
    <row r="616">
      <c r="A616" s="83" t="s">
        <v>785</v>
      </c>
    </row>
    <row r="617">
      <c r="A617" s="83" t="s">
        <v>755</v>
      </c>
    </row>
    <row r="618">
      <c r="A618" s="83" t="s">
        <v>786</v>
      </c>
    </row>
    <row r="619">
      <c r="A619" s="83" t="s">
        <v>787</v>
      </c>
    </row>
    <row r="620">
      <c r="A620" s="83" t="s">
        <v>788</v>
      </c>
    </row>
    <row r="621">
      <c r="A621" s="83" t="s">
        <v>789</v>
      </c>
    </row>
    <row r="622">
      <c r="A622" s="83" t="s">
        <v>749</v>
      </c>
    </row>
    <row r="623">
      <c r="A623" s="83" t="s">
        <v>790</v>
      </c>
    </row>
    <row r="624">
      <c r="A624" s="83" t="s">
        <v>791</v>
      </c>
    </row>
    <row r="625">
      <c r="A625" s="83" t="s">
        <v>792</v>
      </c>
    </row>
    <row r="626">
      <c r="A626" s="83" t="s">
        <v>790</v>
      </c>
    </row>
    <row r="627">
      <c r="A627" s="83" t="s">
        <v>758</v>
      </c>
    </row>
    <row r="628">
      <c r="A628" s="83" t="s">
        <v>755</v>
      </c>
    </row>
    <row r="629">
      <c r="A629" s="83" t="s">
        <v>786</v>
      </c>
    </row>
    <row r="630">
      <c r="A630" s="83" t="s">
        <v>793</v>
      </c>
    </row>
    <row r="631">
      <c r="A631" s="83" t="s">
        <v>788</v>
      </c>
    </row>
    <row r="632">
      <c r="A632" s="83" t="s">
        <v>794</v>
      </c>
    </row>
    <row r="633">
      <c r="A633" s="83" t="s">
        <v>749</v>
      </c>
    </row>
    <row r="634">
      <c r="A634" s="83" t="s">
        <v>790</v>
      </c>
    </row>
    <row r="635">
      <c r="A635" s="83" t="s">
        <v>791</v>
      </c>
    </row>
    <row r="636">
      <c r="A636" s="83" t="s">
        <v>795</v>
      </c>
    </row>
    <row r="637">
      <c r="A637" s="83" t="s">
        <v>790</v>
      </c>
    </row>
    <row r="638">
      <c r="A638" s="83" t="s">
        <v>758</v>
      </c>
    </row>
    <row r="639">
      <c r="A639" s="83" t="s">
        <v>796</v>
      </c>
    </row>
    <row r="640">
      <c r="A640" s="83" t="s">
        <v>797</v>
      </c>
    </row>
    <row r="641">
      <c r="A641" s="83" t="s">
        <v>798</v>
      </c>
    </row>
    <row r="642">
      <c r="A642" s="83" t="s">
        <v>799</v>
      </c>
    </row>
    <row r="643">
      <c r="A643" s="83" t="s">
        <v>790</v>
      </c>
    </row>
    <row r="644">
      <c r="A644" s="83" t="s">
        <v>758</v>
      </c>
    </row>
    <row r="645">
      <c r="A645" s="83" t="s">
        <v>800</v>
      </c>
    </row>
    <row r="646">
      <c r="A646" s="83" t="s">
        <v>765</v>
      </c>
    </row>
    <row r="647">
      <c r="A647" s="83" t="s">
        <v>749</v>
      </c>
    </row>
    <row r="649">
      <c r="A649" s="83" t="s">
        <v>801</v>
      </c>
    </row>
    <row r="650">
      <c r="A650" s="83" t="s">
        <v>802</v>
      </c>
    </row>
    <row r="651">
      <c r="A651" s="83" t="s">
        <v>803</v>
      </c>
    </row>
    <row r="652">
      <c r="A652" s="83" t="s">
        <v>804</v>
      </c>
    </row>
    <row r="653">
      <c r="A653" s="83" t="s">
        <v>749</v>
      </c>
    </row>
    <row r="654">
      <c r="A654" s="83" t="s">
        <v>805</v>
      </c>
    </row>
    <row r="656">
      <c r="A656" s="83" t="s">
        <v>806</v>
      </c>
    </row>
    <row r="657">
      <c r="A657" s="83" t="s">
        <v>807</v>
      </c>
    </row>
    <row r="658">
      <c r="A658" s="83" t="s">
        <v>808</v>
      </c>
    </row>
    <row r="660">
      <c r="A660" s="83" t="s">
        <v>809</v>
      </c>
    </row>
    <row r="662">
      <c r="A662" s="83" t="s">
        <v>810</v>
      </c>
    </row>
    <row r="663">
      <c r="A663" s="83" t="s">
        <v>811</v>
      </c>
    </row>
    <row r="664">
      <c r="A664" s="83" t="s">
        <v>812</v>
      </c>
    </row>
    <row r="665">
      <c r="A665" s="83" t="s">
        <v>813</v>
      </c>
    </row>
    <row r="666">
      <c r="A666" s="83" t="s">
        <v>814</v>
      </c>
    </row>
    <row r="667">
      <c r="A667" s="83" t="s">
        <v>223</v>
      </c>
    </row>
    <row r="668">
      <c r="A668" s="83" t="s">
        <v>223</v>
      </c>
    </row>
    <row r="669">
      <c r="A669" s="83" t="s">
        <v>223</v>
      </c>
    </row>
    <row r="671">
      <c r="A671" s="83" t="s">
        <v>815</v>
      </c>
    </row>
    <row r="672">
      <c r="A672" s="83" t="s">
        <v>816</v>
      </c>
    </row>
    <row r="673">
      <c r="A673" s="83" t="s">
        <v>817</v>
      </c>
    </row>
    <row r="674">
      <c r="A674" s="83" t="s">
        <v>818</v>
      </c>
    </row>
    <row r="676">
      <c r="A676" s="83" t="s">
        <v>819</v>
      </c>
    </row>
    <row r="677">
      <c r="A677" s="83" t="s">
        <v>820</v>
      </c>
    </row>
    <row r="678">
      <c r="A678" s="83" t="s">
        <v>821</v>
      </c>
    </row>
    <row r="679">
      <c r="A679" s="83" t="s">
        <v>822</v>
      </c>
    </row>
    <row r="680">
      <c r="A680" s="83" t="s">
        <v>823</v>
      </c>
    </row>
    <row r="681">
      <c r="A681" s="83" t="s">
        <v>824</v>
      </c>
    </row>
    <row r="682">
      <c r="A682" s="83" t="s">
        <v>825</v>
      </c>
    </row>
    <row r="683">
      <c r="A683" s="83" t="s">
        <v>223</v>
      </c>
    </row>
    <row r="685">
      <c r="A685" s="83" t="s">
        <v>826</v>
      </c>
    </row>
    <row r="686">
      <c r="A686" s="83" t="s">
        <v>827</v>
      </c>
    </row>
    <row r="687">
      <c r="A687" s="83" t="s">
        <v>828</v>
      </c>
    </row>
    <row r="688">
      <c r="A688" s="83" t="s">
        <v>829</v>
      </c>
    </row>
    <row r="689">
      <c r="A689" s="83" t="s">
        <v>830</v>
      </c>
    </row>
    <row r="690">
      <c r="A690" s="83" t="s">
        <v>824</v>
      </c>
    </row>
    <row r="691">
      <c r="A691" s="83" t="s">
        <v>831</v>
      </c>
    </row>
    <row r="692">
      <c r="A692" s="83" t="s">
        <v>223</v>
      </c>
    </row>
    <row r="694">
      <c r="A694" s="83" t="s">
        <v>832</v>
      </c>
    </row>
    <row r="695">
      <c r="A695" s="83" t="s">
        <v>833</v>
      </c>
    </row>
    <row r="696">
      <c r="A696" s="83" t="s">
        <v>834</v>
      </c>
    </row>
    <row r="697">
      <c r="A697" s="83" t="s">
        <v>835</v>
      </c>
    </row>
    <row r="698">
      <c r="A698" s="83" t="s">
        <v>836</v>
      </c>
    </row>
    <row r="699">
      <c r="A699" s="83" t="s">
        <v>824</v>
      </c>
    </row>
    <row r="700">
      <c r="A700" s="83" t="s">
        <v>837</v>
      </c>
    </row>
    <row r="701">
      <c r="A701" s="83" t="s">
        <v>223</v>
      </c>
    </row>
    <row r="702">
      <c r="A702" s="83" t="s">
        <v>223</v>
      </c>
    </row>
    <row r="704">
      <c r="A704" s="83" t="s">
        <v>838</v>
      </c>
    </row>
    <row r="705">
      <c r="A705" s="83" t="s">
        <v>839</v>
      </c>
    </row>
    <row r="706">
      <c r="A706" s="83" t="s">
        <v>840</v>
      </c>
    </row>
    <row r="707">
      <c r="A707" s="83" t="s">
        <v>479</v>
      </c>
    </row>
    <row r="708">
      <c r="A708" s="83" t="s">
        <v>841</v>
      </c>
    </row>
    <row r="709">
      <c r="A709" s="83" t="s">
        <v>842</v>
      </c>
    </row>
    <row r="710">
      <c r="A710" s="83" t="s">
        <v>843</v>
      </c>
    </row>
    <row r="711">
      <c r="A711" s="83" t="s">
        <v>844</v>
      </c>
    </row>
    <row r="712">
      <c r="A712" s="83" t="s">
        <v>845</v>
      </c>
    </row>
    <row r="713">
      <c r="A713" s="83" t="s">
        <v>846</v>
      </c>
    </row>
    <row r="714">
      <c r="A714" s="83" t="s">
        <v>847</v>
      </c>
    </row>
    <row r="715">
      <c r="A715" s="83" t="s">
        <v>223</v>
      </c>
    </row>
    <row r="716">
      <c r="A716" s="83" t="s">
        <v>223</v>
      </c>
    </row>
    <row r="718">
      <c r="A718" s="83" t="s">
        <v>848</v>
      </c>
    </row>
    <row r="719">
      <c r="A719" s="83" t="s">
        <v>849</v>
      </c>
    </row>
    <row r="720">
      <c r="A720" s="83" t="s">
        <v>850</v>
      </c>
    </row>
    <row r="721">
      <c r="A721" s="83" t="s">
        <v>223</v>
      </c>
    </row>
    <row r="722">
      <c r="A722" s="83" t="s">
        <v>851</v>
      </c>
    </row>
    <row r="723">
      <c r="A723" s="83" t="s">
        <v>852</v>
      </c>
    </row>
    <row r="724">
      <c r="A724" s="83" t="s">
        <v>223</v>
      </c>
    </row>
    <row r="725">
      <c r="A725" s="83" t="s">
        <v>853</v>
      </c>
    </row>
    <row r="726">
      <c r="A726" s="83" t="s">
        <v>854</v>
      </c>
    </row>
    <row r="727">
      <c r="A727" s="83" t="s">
        <v>855</v>
      </c>
    </row>
    <row r="728">
      <c r="A728" s="83" t="s">
        <v>856</v>
      </c>
    </row>
    <row r="729">
      <c r="A729" s="83" t="s">
        <v>857</v>
      </c>
    </row>
    <row r="730">
      <c r="A730" s="83" t="s">
        <v>858</v>
      </c>
    </row>
    <row r="731">
      <c r="A731" s="83" t="s">
        <v>223</v>
      </c>
    </row>
    <row r="732">
      <c r="A732" s="83" t="s">
        <v>859</v>
      </c>
    </row>
    <row r="733">
      <c r="A733" s="83" t="s">
        <v>860</v>
      </c>
    </row>
    <row r="734">
      <c r="A734" s="83" t="s">
        <v>861</v>
      </c>
    </row>
    <row r="735">
      <c r="A735" s="83" t="s">
        <v>862</v>
      </c>
    </row>
    <row r="736">
      <c r="A736" s="83" t="s">
        <v>863</v>
      </c>
    </row>
    <row r="737">
      <c r="A737" s="83" t="s">
        <v>864</v>
      </c>
    </row>
    <row r="738">
      <c r="A738" s="83" t="s">
        <v>865</v>
      </c>
    </row>
    <row r="739">
      <c r="A739" s="83" t="s">
        <v>223</v>
      </c>
    </row>
    <row r="740">
      <c r="A740" s="83" t="s">
        <v>866</v>
      </c>
    </row>
    <row r="741">
      <c r="A741" s="83" t="s">
        <v>867</v>
      </c>
    </row>
    <row r="742">
      <c r="A742" s="83" t="s">
        <v>868</v>
      </c>
    </row>
    <row r="743">
      <c r="A743" s="83" t="s">
        <v>223</v>
      </c>
    </row>
    <row r="744">
      <c r="A744" s="83" t="s">
        <v>869</v>
      </c>
    </row>
    <row r="745">
      <c r="A745" s="83" t="s">
        <v>870</v>
      </c>
    </row>
    <row r="746">
      <c r="A746" s="83" t="s">
        <v>871</v>
      </c>
    </row>
    <row r="747">
      <c r="A747" s="83" t="s">
        <v>223</v>
      </c>
    </row>
    <row r="749">
      <c r="A749" s="83" t="s">
        <v>872</v>
      </c>
    </row>
    <row r="750">
      <c r="A750" s="83" t="s">
        <v>157</v>
      </c>
    </row>
    <row r="751">
      <c r="A751" s="83" t="s">
        <v>873</v>
      </c>
    </row>
    <row r="752">
      <c r="A752" s="83" t="s">
        <v>874</v>
      </c>
    </row>
    <row r="753">
      <c r="A753" s="83" t="s">
        <v>875</v>
      </c>
    </row>
    <row r="754">
      <c r="A754" s="83" t="s">
        <v>876</v>
      </c>
    </row>
    <row r="755">
      <c r="A755" s="83" t="s">
        <v>877</v>
      </c>
    </row>
    <row r="756">
      <c r="A756" s="83" t="s">
        <v>878</v>
      </c>
    </row>
    <row r="757">
      <c r="A757" s="83" t="s">
        <v>879</v>
      </c>
    </row>
    <row r="758">
      <c r="A758" s="83" t="s">
        <v>880</v>
      </c>
    </row>
    <row r="759">
      <c r="A759" s="83" t="s">
        <v>881</v>
      </c>
    </row>
    <row r="761">
      <c r="A761" s="83" t="s">
        <v>882</v>
      </c>
    </row>
    <row r="763">
      <c r="A763" s="83" t="s">
        <v>883</v>
      </c>
    </row>
    <row r="764">
      <c r="A764" s="83" t="s">
        <v>884</v>
      </c>
    </row>
    <row r="765">
      <c r="A765" s="83" t="s">
        <v>885</v>
      </c>
    </row>
    <row r="766">
      <c r="A766" s="83" t="s">
        <v>886</v>
      </c>
    </row>
    <row r="768">
      <c r="A768" s="83" t="s">
        <v>887</v>
      </c>
    </row>
    <row r="769">
      <c r="A769" s="83" t="s">
        <v>888</v>
      </c>
    </row>
    <row r="770">
      <c r="A770" s="83" t="s">
        <v>889</v>
      </c>
    </row>
    <row r="772">
      <c r="A772" s="83" t="s">
        <v>890</v>
      </c>
    </row>
    <row r="773">
      <c r="A773" s="83" t="s">
        <v>891</v>
      </c>
    </row>
    <row r="774">
      <c r="A774" s="83" t="s">
        <v>892</v>
      </c>
    </row>
    <row r="775">
      <c r="A775" s="83" t="s">
        <v>223</v>
      </c>
    </row>
    <row r="776">
      <c r="A776" s="83" t="s">
        <v>223</v>
      </c>
    </row>
    <row r="777">
      <c r="A777" s="83" t="s">
        <v>223</v>
      </c>
    </row>
    <row r="779">
      <c r="A779" s="83" t="s">
        <v>893</v>
      </c>
    </row>
    <row r="780">
      <c r="A780" s="83" t="s">
        <v>223</v>
      </c>
    </row>
    <row r="782">
      <c r="A782" s="83" t="s">
        <v>157</v>
      </c>
    </row>
    <row r="783">
      <c r="A783" s="83" t="s">
        <v>894</v>
      </c>
    </row>
    <row r="784">
      <c r="A784" s="83" t="s">
        <v>874</v>
      </c>
    </row>
    <row r="785">
      <c r="A785" s="83" t="s">
        <v>875</v>
      </c>
    </row>
    <row r="786">
      <c r="A786" s="83" t="s">
        <v>895</v>
      </c>
    </row>
    <row r="787">
      <c r="A787" s="83" t="s">
        <v>877</v>
      </c>
    </row>
    <row r="788">
      <c r="A788" s="83" t="s">
        <v>879</v>
      </c>
    </row>
    <row r="789">
      <c r="A789" s="83" t="s">
        <v>896</v>
      </c>
    </row>
    <row r="790">
      <c r="A790" s="83" t="s">
        <v>897</v>
      </c>
    </row>
    <row r="792">
      <c r="A792" s="83" t="s">
        <v>882</v>
      </c>
    </row>
    <row r="794">
      <c r="A794" s="83" t="s">
        <v>898</v>
      </c>
    </row>
    <row r="795">
      <c r="A795" s="83" t="s">
        <v>899</v>
      </c>
    </row>
    <row r="796">
      <c r="A796" s="83" t="s">
        <v>885</v>
      </c>
    </row>
    <row r="797">
      <c r="A797" s="83" t="s">
        <v>886</v>
      </c>
    </row>
    <row r="799">
      <c r="A799" s="83" t="s">
        <v>887</v>
      </c>
    </row>
    <row r="800">
      <c r="A800" s="83" t="s">
        <v>900</v>
      </c>
    </row>
    <row r="802">
      <c r="A802" s="83" t="s">
        <v>901</v>
      </c>
    </row>
    <row r="803">
      <c r="A803" s="83" t="s">
        <v>902</v>
      </c>
    </row>
    <row r="804">
      <c r="A804" s="83" t="s">
        <v>903</v>
      </c>
    </row>
    <row r="805">
      <c r="A805" s="83" t="s">
        <v>904</v>
      </c>
    </row>
    <row r="806">
      <c r="A806" s="83" t="s">
        <v>223</v>
      </c>
    </row>
    <row r="807">
      <c r="A807" s="83" t="s">
        <v>223</v>
      </c>
    </row>
    <row r="808">
      <c r="A808" s="83" t="s">
        <v>223</v>
      </c>
    </row>
    <row r="809">
      <c r="A809" s="83" t="s">
        <v>223</v>
      </c>
    </row>
    <row r="811">
      <c r="A811" s="83" t="s">
        <v>157</v>
      </c>
    </row>
    <row r="812">
      <c r="A812" s="83" t="s">
        <v>905</v>
      </c>
    </row>
    <row r="813">
      <c r="A813" s="83" t="s">
        <v>906</v>
      </c>
    </row>
    <row r="814">
      <c r="A814" s="83" t="s">
        <v>874</v>
      </c>
    </row>
    <row r="815">
      <c r="A815" s="83" t="s">
        <v>907</v>
      </c>
    </row>
    <row r="816">
      <c r="A816" s="83" t="s">
        <v>908</v>
      </c>
    </row>
    <row r="817">
      <c r="A817" s="83" t="s">
        <v>877</v>
      </c>
    </row>
    <row r="818">
      <c r="A818" s="83" t="s">
        <v>879</v>
      </c>
    </row>
    <row r="819">
      <c r="A819" s="83" t="s">
        <v>909</v>
      </c>
    </row>
    <row r="820">
      <c r="A820" s="83" t="s">
        <v>910</v>
      </c>
    </row>
    <row r="822">
      <c r="A822" s="83" t="s">
        <v>882</v>
      </c>
    </row>
    <row r="823">
      <c r="A823" s="83" t="s">
        <v>911</v>
      </c>
    </row>
    <row r="824">
      <c r="A824" s="83" t="s">
        <v>912</v>
      </c>
    </row>
    <row r="826">
      <c r="A826" s="83" t="s">
        <v>913</v>
      </c>
    </row>
    <row r="827">
      <c r="A827" s="83" t="s">
        <v>914</v>
      </c>
    </row>
    <row r="828">
      <c r="A828" s="83" t="s">
        <v>915</v>
      </c>
    </row>
    <row r="829">
      <c r="A829" s="83" t="s">
        <v>916</v>
      </c>
    </row>
    <row r="831">
      <c r="A831" s="83" t="s">
        <v>917</v>
      </c>
    </row>
    <row r="832">
      <c r="A832" s="83" t="s">
        <v>885</v>
      </c>
    </row>
    <row r="833">
      <c r="A833" s="83" t="s">
        <v>886</v>
      </c>
    </row>
    <row r="834">
      <c r="A834" s="83" t="s">
        <v>918</v>
      </c>
    </row>
    <row r="836">
      <c r="A836" s="83" t="s">
        <v>919</v>
      </c>
    </row>
    <row r="837">
      <c r="A837" s="83" t="s">
        <v>920</v>
      </c>
    </row>
    <row r="838">
      <c r="A838" s="83" t="s">
        <v>921</v>
      </c>
    </row>
    <row r="840">
      <c r="A840" s="83" t="s">
        <v>922</v>
      </c>
    </row>
    <row r="842">
      <c r="A842" s="83" t="s">
        <v>923</v>
      </c>
    </row>
    <row r="843">
      <c r="A843" s="83" t="s">
        <v>924</v>
      </c>
    </row>
    <row r="844">
      <c r="A844" s="83" t="s">
        <v>925</v>
      </c>
    </row>
    <row r="845">
      <c r="A845" s="83" t="s">
        <v>926</v>
      </c>
    </row>
    <row r="846">
      <c r="A846" s="83" t="s">
        <v>927</v>
      </c>
    </row>
    <row r="848">
      <c r="A848" s="83" t="s">
        <v>928</v>
      </c>
    </row>
    <row r="849">
      <c r="A849" s="83" t="s">
        <v>929</v>
      </c>
    </row>
    <row r="850">
      <c r="A850" s="83" t="s">
        <v>930</v>
      </c>
    </row>
    <row r="851">
      <c r="A851" s="83" t="s">
        <v>931</v>
      </c>
    </row>
    <row r="852">
      <c r="A852" s="83" t="s">
        <v>223</v>
      </c>
    </row>
    <row r="853">
      <c r="A853" s="83" t="s">
        <v>223</v>
      </c>
    </row>
    <row r="855">
      <c r="A855" s="83" t="s">
        <v>932</v>
      </c>
    </row>
    <row r="856">
      <c r="A856" s="83" t="s">
        <v>933</v>
      </c>
    </row>
    <row r="857">
      <c r="A857" s="83" t="s">
        <v>479</v>
      </c>
    </row>
    <row r="858">
      <c r="A858" s="83" t="s">
        <v>934</v>
      </c>
    </row>
    <row r="859">
      <c r="A859" s="83" t="s">
        <v>935</v>
      </c>
    </row>
    <row r="860">
      <c r="A860" s="83" t="s">
        <v>936</v>
      </c>
    </row>
    <row r="862">
      <c r="A862" s="83" t="s">
        <v>937</v>
      </c>
    </row>
    <row r="863">
      <c r="A863" s="83" t="s">
        <v>938</v>
      </c>
    </row>
    <row r="864">
      <c r="A864" s="83" t="s">
        <v>939</v>
      </c>
    </row>
    <row r="866">
      <c r="A866" s="83" t="s">
        <v>940</v>
      </c>
    </row>
    <row r="867">
      <c r="A867" s="83" t="s">
        <v>941</v>
      </c>
    </row>
    <row r="868">
      <c r="A868" s="83" t="s">
        <v>942</v>
      </c>
    </row>
    <row r="869">
      <c r="A869" s="83" t="s">
        <v>943</v>
      </c>
    </row>
    <row r="870">
      <c r="A870" s="83" t="s">
        <v>223</v>
      </c>
    </row>
    <row r="871">
      <c r="A871" s="83" t="s">
        <v>223</v>
      </c>
    </row>
    <row r="872">
      <c r="A872" s="83" t="s">
        <v>223</v>
      </c>
    </row>
    <row r="873">
      <c r="A873" s="83" t="s">
        <v>824</v>
      </c>
    </row>
    <row r="874">
      <c r="A874" s="83" t="s">
        <v>944</v>
      </c>
    </row>
    <row r="875">
      <c r="A875" s="83" t="s">
        <v>945</v>
      </c>
    </row>
    <row r="876">
      <c r="A876" s="83" t="s">
        <v>885</v>
      </c>
    </row>
    <row r="877">
      <c r="A877" s="83" t="s">
        <v>886</v>
      </c>
    </row>
    <row r="879">
      <c r="A879" s="83" t="s">
        <v>946</v>
      </c>
    </row>
    <row r="880">
      <c r="A880" s="83" t="s">
        <v>924</v>
      </c>
    </row>
    <row r="881">
      <c r="A881" s="83" t="s">
        <v>947</v>
      </c>
    </row>
    <row r="882">
      <c r="A882" s="83" t="s">
        <v>925</v>
      </c>
    </row>
    <row r="883">
      <c r="A883" s="83" t="s">
        <v>948</v>
      </c>
    </row>
    <row r="884">
      <c r="A884" s="83" t="s">
        <v>927</v>
      </c>
    </row>
    <row r="886">
      <c r="A886" s="83" t="s">
        <v>949</v>
      </c>
    </row>
    <row r="887">
      <c r="A887" s="83" t="s">
        <v>929</v>
      </c>
    </row>
    <row r="888">
      <c r="A888" s="83" t="s">
        <v>930</v>
      </c>
    </row>
    <row r="889">
      <c r="A889" s="83" t="s">
        <v>931</v>
      </c>
    </row>
    <row r="890">
      <c r="A890" s="83" t="s">
        <v>950</v>
      </c>
    </row>
    <row r="891">
      <c r="A891" s="83" t="s">
        <v>223</v>
      </c>
    </row>
    <row r="892">
      <c r="A892" s="83" t="s">
        <v>223</v>
      </c>
    </row>
    <row r="894">
      <c r="A894" s="83" t="s">
        <v>951</v>
      </c>
    </row>
    <row r="895">
      <c r="A895" s="83" t="s">
        <v>952</v>
      </c>
    </row>
    <row r="896">
      <c r="A896" s="83" t="s">
        <v>953</v>
      </c>
    </row>
    <row r="897">
      <c r="A897" s="83" t="s">
        <v>954</v>
      </c>
    </row>
    <row r="898">
      <c r="A898" s="83" t="s">
        <v>955</v>
      </c>
    </row>
    <row r="899">
      <c r="A899" s="83" t="s">
        <v>956</v>
      </c>
    </row>
    <row r="900">
      <c r="A900" s="83" t="s">
        <v>957</v>
      </c>
    </row>
    <row r="901">
      <c r="A901" s="83" t="s">
        <v>223</v>
      </c>
    </row>
    <row r="902">
      <c r="A902" s="83" t="s">
        <v>223</v>
      </c>
    </row>
    <row r="904">
      <c r="A904" s="83" t="s">
        <v>958</v>
      </c>
    </row>
    <row r="905">
      <c r="A905" s="83" t="s">
        <v>918</v>
      </c>
    </row>
    <row r="907">
      <c r="A907" s="83" t="s">
        <v>959</v>
      </c>
    </row>
    <row r="908">
      <c r="A908" s="83" t="s">
        <v>929</v>
      </c>
    </row>
    <row r="909">
      <c r="A909" s="83" t="s">
        <v>960</v>
      </c>
    </row>
    <row r="910">
      <c r="A910" s="83" t="s">
        <v>961</v>
      </c>
    </row>
    <row r="911">
      <c r="A911" s="83" t="s">
        <v>223</v>
      </c>
    </row>
    <row r="913">
      <c r="A913" s="83" t="s">
        <v>962</v>
      </c>
    </row>
    <row r="914">
      <c r="A914" s="83" t="s">
        <v>963</v>
      </c>
    </row>
    <row r="915">
      <c r="A915" s="83" t="s">
        <v>964</v>
      </c>
    </row>
    <row r="916">
      <c r="A916" s="83" t="s">
        <v>965</v>
      </c>
    </row>
    <row r="917">
      <c r="A917" s="83" t="s">
        <v>966</v>
      </c>
    </row>
    <row r="919">
      <c r="A919" s="83" t="s">
        <v>967</v>
      </c>
    </row>
    <row r="920">
      <c r="A920" s="83" t="s">
        <v>968</v>
      </c>
    </row>
    <row r="921">
      <c r="A921" s="83" t="s">
        <v>969</v>
      </c>
    </row>
    <row r="923">
      <c r="A923" s="83" t="s">
        <v>970</v>
      </c>
    </row>
    <row r="924">
      <c r="A924" s="83" t="s">
        <v>971</v>
      </c>
    </row>
    <row r="926">
      <c r="A926" s="83" t="s">
        <v>972</v>
      </c>
    </row>
    <row r="927">
      <c r="A927" s="83" t="s">
        <v>973</v>
      </c>
    </row>
    <row r="929">
      <c r="A929" s="83" t="s">
        <v>974</v>
      </c>
    </row>
    <row r="930">
      <c r="A930" s="83" t="s">
        <v>975</v>
      </c>
    </row>
    <row r="932">
      <c r="A932" s="83" t="s">
        <v>976</v>
      </c>
    </row>
    <row r="933">
      <c r="A933" s="83" t="s">
        <v>977</v>
      </c>
    </row>
    <row r="934">
      <c r="A934" s="83" t="s">
        <v>978</v>
      </c>
    </row>
    <row r="935">
      <c r="A935" s="83" t="s">
        <v>979</v>
      </c>
    </row>
    <row r="936">
      <c r="A936" s="83" t="s">
        <v>980</v>
      </c>
    </row>
    <row r="937">
      <c r="A937" s="83" t="s">
        <v>223</v>
      </c>
    </row>
    <row r="939">
      <c r="A939" s="83" t="s">
        <v>981</v>
      </c>
    </row>
    <row r="940">
      <c r="A940" s="83" t="s">
        <v>982</v>
      </c>
    </row>
    <row r="941">
      <c r="A941" s="83" t="s">
        <v>983</v>
      </c>
    </row>
    <row r="942">
      <c r="A942" s="83" t="s">
        <v>984</v>
      </c>
    </row>
    <row r="943">
      <c r="A943" s="83" t="s">
        <v>985</v>
      </c>
    </row>
    <row r="944">
      <c r="A944" s="83" t="s">
        <v>223</v>
      </c>
    </row>
    <row r="945">
      <c r="A945" s="83" t="s">
        <v>223</v>
      </c>
    </row>
    <row r="947">
      <c r="A947" s="83" t="s">
        <v>986</v>
      </c>
    </row>
    <row r="948">
      <c r="A948" s="83" t="s">
        <v>987</v>
      </c>
    </row>
    <row r="949">
      <c r="A949" s="83" t="s">
        <v>988</v>
      </c>
    </row>
    <row r="950">
      <c r="A950" s="83" t="s">
        <v>989</v>
      </c>
    </row>
    <row r="951">
      <c r="A951" s="83" t="s">
        <v>223</v>
      </c>
    </row>
    <row r="952">
      <c r="A952" s="83" t="s">
        <v>223</v>
      </c>
    </row>
    <row r="953">
      <c r="A953" s="83" t="s">
        <v>223</v>
      </c>
    </row>
    <row r="955">
      <c r="A955" s="83" t="s">
        <v>990</v>
      </c>
    </row>
    <row r="956">
      <c r="A956" s="83" t="s">
        <v>991</v>
      </c>
    </row>
    <row r="957">
      <c r="A957" s="83" t="s">
        <v>479</v>
      </c>
    </row>
    <row r="958">
      <c r="A958" s="83" t="s">
        <v>992</v>
      </c>
    </row>
    <row r="959">
      <c r="A959" s="83" t="s">
        <v>934</v>
      </c>
    </row>
    <row r="960">
      <c r="A960" s="83" t="s">
        <v>935</v>
      </c>
    </row>
    <row r="961">
      <c r="A961" s="83" t="s">
        <v>936</v>
      </c>
    </row>
    <row r="963">
      <c r="A963" s="83" t="s">
        <v>937</v>
      </c>
    </row>
    <row r="964">
      <c r="A964" s="83" t="s">
        <v>938</v>
      </c>
    </row>
    <row r="965">
      <c r="A965" s="83" t="s">
        <v>939</v>
      </c>
    </row>
    <row r="967">
      <c r="A967" s="83" t="s">
        <v>940</v>
      </c>
    </row>
    <row r="968">
      <c r="A968" s="83" t="s">
        <v>993</v>
      </c>
    </row>
    <row r="969">
      <c r="A969" s="83" t="s">
        <v>942</v>
      </c>
    </row>
    <row r="970">
      <c r="A970" s="83" t="s">
        <v>994</v>
      </c>
    </row>
    <row r="971">
      <c r="A971" s="83" t="s">
        <v>223</v>
      </c>
    </row>
    <row r="972">
      <c r="A972" s="83" t="s">
        <v>824</v>
      </c>
    </row>
    <row r="973">
      <c r="A973" s="83" t="s">
        <v>995</v>
      </c>
    </row>
    <row r="974">
      <c r="A974" s="83" t="s">
        <v>996</v>
      </c>
    </row>
    <row r="975">
      <c r="A975" s="83" t="s">
        <v>223</v>
      </c>
    </row>
    <row r="976">
      <c r="A976" s="83" t="s">
        <v>223</v>
      </c>
    </row>
    <row r="977">
      <c r="A977" s="83" t="s">
        <v>223</v>
      </c>
    </row>
    <row r="979">
      <c r="A979" s="83" t="s">
        <v>997</v>
      </c>
    </row>
    <row r="980">
      <c r="A980" s="83" t="s">
        <v>998</v>
      </c>
    </row>
    <row r="981">
      <c r="A981" s="83" t="s">
        <v>223</v>
      </c>
    </row>
    <row r="983">
      <c r="A983" s="83" t="s">
        <v>999</v>
      </c>
    </row>
    <row r="984">
      <c r="A984" s="83" t="s">
        <v>479</v>
      </c>
    </row>
    <row r="985">
      <c r="A985" s="83" t="s">
        <v>1000</v>
      </c>
    </row>
    <row r="987">
      <c r="A987" s="83" t="s">
        <v>508</v>
      </c>
    </row>
    <row r="989">
      <c r="A989" s="83" t="s">
        <v>1001</v>
      </c>
    </row>
    <row r="990">
      <c r="A990" s="83" t="s">
        <v>1002</v>
      </c>
    </row>
    <row r="991">
      <c r="A991" s="83" t="s">
        <v>1003</v>
      </c>
    </row>
    <row r="993">
      <c r="A993" s="83" t="s">
        <v>1004</v>
      </c>
    </row>
    <row r="994">
      <c r="A994" s="83" t="s">
        <v>1005</v>
      </c>
    </row>
    <row r="995">
      <c r="A995" s="83" t="s">
        <v>1006</v>
      </c>
    </row>
    <row r="996">
      <c r="A996" s="83" t="s">
        <v>223</v>
      </c>
    </row>
    <row r="998">
      <c r="A998" s="83" t="s">
        <v>1007</v>
      </c>
    </row>
    <row r="999">
      <c r="A999" s="83" t="s">
        <v>521</v>
      </c>
    </row>
    <row r="1000">
      <c r="A1000" s="83" t="s">
        <v>1008</v>
      </c>
    </row>
    <row r="1001">
      <c r="A1001" s="83" t="s">
        <v>1009</v>
      </c>
    </row>
    <row r="1002">
      <c r="A1002" s="83" t="s">
        <v>1010</v>
      </c>
    </row>
    <row r="1003">
      <c r="A1003" s="83" t="s">
        <v>824</v>
      </c>
    </row>
    <row r="1004">
      <c r="A1004" s="83" t="s">
        <v>1011</v>
      </c>
    </row>
    <row r="1005">
      <c r="A1005" s="83" t="s">
        <v>1012</v>
      </c>
    </row>
    <row r="1006">
      <c r="A1006" s="83" t="s">
        <v>223</v>
      </c>
    </row>
    <row r="1007">
      <c r="A1007" s="83" t="s">
        <v>223</v>
      </c>
    </row>
    <row r="1009">
      <c r="A1009" s="83" t="s">
        <v>1013</v>
      </c>
    </row>
    <row r="1010">
      <c r="A1010" s="83" t="s">
        <v>1014</v>
      </c>
    </row>
    <row r="1012">
      <c r="A1012" s="83" t="s">
        <v>1015</v>
      </c>
    </row>
    <row r="1013">
      <c r="A1013" s="83" t="s">
        <v>479</v>
      </c>
    </row>
    <row r="1014">
      <c r="A1014" s="83" t="s">
        <v>527</v>
      </c>
    </row>
    <row r="1015">
      <c r="A1015" s="83" t="s">
        <v>528</v>
      </c>
    </row>
    <row r="1016">
      <c r="A1016" s="83" t="s">
        <v>1016</v>
      </c>
    </row>
    <row r="1017">
      <c r="A1017" s="83" t="s">
        <v>223</v>
      </c>
    </row>
    <row r="1019">
      <c r="A1019" s="83" t="s">
        <v>1017</v>
      </c>
    </row>
    <row r="1020">
      <c r="A1020" s="83" t="s">
        <v>528</v>
      </c>
    </row>
    <row r="1021">
      <c r="A1021" s="83" t="s">
        <v>1018</v>
      </c>
    </row>
    <row r="1022">
      <c r="A1022" s="83" t="s">
        <v>223</v>
      </c>
    </row>
    <row r="1023">
      <c r="A1023" s="83" t="s">
        <v>223</v>
      </c>
    </row>
    <row r="1025">
      <c r="A1025" s="83" t="s">
        <v>1019</v>
      </c>
    </row>
    <row r="1026">
      <c r="A1026" s="83" t="s">
        <v>1020</v>
      </c>
    </row>
    <row r="1027">
      <c r="A1027" s="83" t="s">
        <v>479</v>
      </c>
    </row>
    <row r="1028">
      <c r="A1028" s="83" t="s">
        <v>1021</v>
      </c>
    </row>
    <row r="1030">
      <c r="A1030" s="83" t="s">
        <v>1022</v>
      </c>
    </row>
    <row r="1031">
      <c r="A1031" s="83" t="s">
        <v>1023</v>
      </c>
    </row>
    <row r="1033">
      <c r="A1033" s="83" t="s">
        <v>1024</v>
      </c>
    </row>
    <row r="1034">
      <c r="A1034" s="83" t="s">
        <v>1025</v>
      </c>
    </row>
    <row r="1035">
      <c r="A1035" s="83" t="s">
        <v>1026</v>
      </c>
    </row>
    <row r="1036">
      <c r="A1036" s="83" t="s">
        <v>1027</v>
      </c>
    </row>
    <row r="1037">
      <c r="A1037" s="83" t="s">
        <v>223</v>
      </c>
    </row>
    <row r="1039">
      <c r="A1039" s="83" t="s">
        <v>1028</v>
      </c>
    </row>
    <row r="1041">
      <c r="A1041" s="83" t="s">
        <v>1029</v>
      </c>
    </row>
    <row r="1042">
      <c r="A1042" s="83" t="s">
        <v>1030</v>
      </c>
    </row>
    <row r="1043">
      <c r="A1043" s="83" t="s">
        <v>1031</v>
      </c>
    </row>
    <row r="1044">
      <c r="A1044" s="83" t="s">
        <v>1032</v>
      </c>
    </row>
    <row r="1045">
      <c r="A1045" s="83" t="s">
        <v>223</v>
      </c>
    </row>
    <row r="1047">
      <c r="A1047" s="83" t="s">
        <v>528</v>
      </c>
    </row>
    <row r="1048">
      <c r="A1048" s="83" t="s">
        <v>1033</v>
      </c>
    </row>
    <row r="1049">
      <c r="A1049" s="83" t="s">
        <v>223</v>
      </c>
    </row>
    <row r="1050">
      <c r="A1050" s="83" t="s">
        <v>223</v>
      </c>
    </row>
    <row r="1052">
      <c r="A1052" s="83" t="s">
        <v>1034</v>
      </c>
    </row>
    <row r="1053">
      <c r="A1053" s="83" t="s">
        <v>1035</v>
      </c>
    </row>
    <row r="1054">
      <c r="A1054" s="83" t="s">
        <v>479</v>
      </c>
    </row>
    <row r="1055">
      <c r="A1055" s="83" t="s">
        <v>458</v>
      </c>
    </row>
    <row r="1056">
      <c r="A1056" s="83" t="s">
        <v>1036</v>
      </c>
    </row>
    <row r="1057">
      <c r="A1057" s="83" t="s">
        <v>1037</v>
      </c>
    </row>
    <row r="1058">
      <c r="A1058" s="83" t="s">
        <v>494</v>
      </c>
    </row>
    <row r="1059">
      <c r="A1059" s="83" t="s">
        <v>223</v>
      </c>
    </row>
    <row r="1061">
      <c r="A1061" s="83" t="s">
        <v>1038</v>
      </c>
    </row>
    <row r="1062">
      <c r="A1062" s="83" t="s">
        <v>1039</v>
      </c>
    </row>
    <row r="1063">
      <c r="A1063" s="83" t="s">
        <v>1040</v>
      </c>
    </row>
    <row r="1064">
      <c r="A1064" s="83" t="s">
        <v>528</v>
      </c>
    </row>
    <row r="1065">
      <c r="A1065" s="83" t="s">
        <v>1041</v>
      </c>
    </row>
    <row r="1066">
      <c r="A1066" s="83" t="s">
        <v>1042</v>
      </c>
    </row>
    <row r="1067">
      <c r="A1067" s="83" t="s">
        <v>223</v>
      </c>
    </row>
    <row r="1068">
      <c r="A1068" s="83" t="s">
        <v>223</v>
      </c>
    </row>
    <row r="1070">
      <c r="A1070" s="83" t="s">
        <v>1043</v>
      </c>
    </row>
    <row r="1071">
      <c r="A1071" s="83" t="s">
        <v>479</v>
      </c>
    </row>
    <row r="1072">
      <c r="A1072" s="83" t="s">
        <v>458</v>
      </c>
    </row>
    <row r="1073">
      <c r="A1073" s="83" t="s">
        <v>1036</v>
      </c>
    </row>
    <row r="1074">
      <c r="A1074" s="83" t="s">
        <v>1037</v>
      </c>
    </row>
    <row r="1075">
      <c r="A1075" s="83" t="s">
        <v>494</v>
      </c>
    </row>
    <row r="1076">
      <c r="A1076" s="83" t="s">
        <v>223</v>
      </c>
    </row>
    <row r="1078">
      <c r="A1078" s="83" t="s">
        <v>1038</v>
      </c>
    </row>
    <row r="1079">
      <c r="A1079" s="83" t="s">
        <v>1044</v>
      </c>
    </row>
    <row r="1080">
      <c r="A1080" s="83" t="s">
        <v>1045</v>
      </c>
    </row>
    <row r="1081">
      <c r="A1081" s="83" t="s">
        <v>528</v>
      </c>
    </row>
    <row r="1082">
      <c r="A1082" s="83" t="s">
        <v>1046</v>
      </c>
    </row>
    <row r="1083">
      <c r="A1083" s="83" t="s">
        <v>1042</v>
      </c>
    </row>
    <row r="1084">
      <c r="A1084" s="83" t="s">
        <v>223</v>
      </c>
    </row>
    <row r="1085">
      <c r="A1085" s="83" t="s">
        <v>223</v>
      </c>
    </row>
    <row r="1087">
      <c r="A1087" s="83" t="s">
        <v>1047</v>
      </c>
    </row>
    <row r="1088">
      <c r="A1088" s="83" t="s">
        <v>479</v>
      </c>
    </row>
    <row r="1089">
      <c r="A1089" s="83" t="s">
        <v>458</v>
      </c>
    </row>
    <row r="1090">
      <c r="A1090" s="83" t="s">
        <v>1036</v>
      </c>
    </row>
    <row r="1091">
      <c r="A1091" s="83" t="s">
        <v>1037</v>
      </c>
    </row>
    <row r="1092">
      <c r="A1092" s="83" t="s">
        <v>494</v>
      </c>
    </row>
    <row r="1093">
      <c r="A1093" s="83" t="s">
        <v>223</v>
      </c>
    </row>
    <row r="1095">
      <c r="A1095" s="83" t="s">
        <v>1038</v>
      </c>
    </row>
    <row r="1096">
      <c r="A1096" s="83" t="s">
        <v>1048</v>
      </c>
    </row>
    <row r="1097">
      <c r="A1097" s="83" t="s">
        <v>1049</v>
      </c>
    </row>
    <row r="1098">
      <c r="A1098" s="83" t="s">
        <v>528</v>
      </c>
    </row>
    <row r="1099">
      <c r="A1099" s="83" t="s">
        <v>1050</v>
      </c>
    </row>
    <row r="1100">
      <c r="A1100" s="83" t="s">
        <v>1042</v>
      </c>
    </row>
    <row r="1101">
      <c r="A1101" s="83" t="s">
        <v>223</v>
      </c>
    </row>
    <row r="1102">
      <c r="A1102" s="83" t="s">
        <v>223</v>
      </c>
    </row>
    <row r="1104">
      <c r="A1104" s="83" t="s">
        <v>1051</v>
      </c>
    </row>
    <row r="1105">
      <c r="A1105" s="83" t="s">
        <v>479</v>
      </c>
    </row>
    <row r="1106">
      <c r="A1106" s="83" t="s">
        <v>458</v>
      </c>
    </row>
    <row r="1107">
      <c r="A1107" s="83" t="s">
        <v>1036</v>
      </c>
    </row>
    <row r="1108">
      <c r="A1108" s="83" t="s">
        <v>1037</v>
      </c>
    </row>
    <row r="1109">
      <c r="A1109" s="83" t="s">
        <v>494</v>
      </c>
    </row>
    <row r="1110">
      <c r="A1110" s="83" t="s">
        <v>223</v>
      </c>
    </row>
    <row r="1112">
      <c r="A1112" s="83" t="s">
        <v>1052</v>
      </c>
    </row>
    <row r="1113">
      <c r="A1113" s="83" t="s">
        <v>1053</v>
      </c>
    </row>
    <row r="1114">
      <c r="A1114" s="83" t="s">
        <v>528</v>
      </c>
    </row>
    <row r="1115">
      <c r="A1115" s="83" t="s">
        <v>1054</v>
      </c>
    </row>
    <row r="1116">
      <c r="A1116" s="83" t="s">
        <v>1042</v>
      </c>
    </row>
    <row r="1117">
      <c r="A1117" s="83" t="s">
        <v>223</v>
      </c>
    </row>
    <row r="1118">
      <c r="A1118" s="83" t="s">
        <v>223</v>
      </c>
    </row>
    <row r="1120">
      <c r="A1120" s="83" t="s">
        <v>1055</v>
      </c>
    </row>
    <row r="1121">
      <c r="A1121" s="83" t="s">
        <v>490</v>
      </c>
    </row>
    <row r="1122">
      <c r="A1122" s="83" t="s">
        <v>1056</v>
      </c>
    </row>
    <row r="1123">
      <c r="A1123" s="83" t="s">
        <v>882</v>
      </c>
    </row>
    <row r="1125">
      <c r="A1125" s="83" t="s">
        <v>1057</v>
      </c>
    </row>
    <row r="1126">
      <c r="A1126" s="83" t="s">
        <v>1058</v>
      </c>
    </row>
    <row r="1128">
      <c r="A1128" s="83" t="s">
        <v>945</v>
      </c>
    </row>
    <row r="1129">
      <c r="A1129" s="83" t="s">
        <v>1059</v>
      </c>
    </row>
    <row r="1130">
      <c r="A1130" s="83" t="s">
        <v>1060</v>
      </c>
    </row>
    <row r="1131">
      <c r="A1131" s="83" t="s">
        <v>888</v>
      </c>
    </row>
    <row r="1132">
      <c r="A1132" s="83" t="s">
        <v>889</v>
      </c>
    </row>
    <row r="1133">
      <c r="A1133" s="83" t="s">
        <v>1061</v>
      </c>
    </row>
    <row r="1134">
      <c r="A1134" s="83" t="s">
        <v>1062</v>
      </c>
    </row>
    <row r="1136">
      <c r="A1136" s="83" t="s">
        <v>1063</v>
      </c>
    </row>
    <row r="1137">
      <c r="A1137" s="83" t="s">
        <v>1064</v>
      </c>
    </row>
    <row r="1138">
      <c r="A1138" s="83" t="s">
        <v>1065</v>
      </c>
    </row>
    <row r="1139">
      <c r="A1139" s="83" t="s">
        <v>1066</v>
      </c>
    </row>
    <row r="1140">
      <c r="A1140" s="83" t="s">
        <v>223</v>
      </c>
    </row>
    <row r="1141">
      <c r="A1141" s="83" t="s">
        <v>932</v>
      </c>
    </row>
    <row r="1142">
      <c r="A1142" s="83" t="s">
        <v>1067</v>
      </c>
    </row>
    <row r="1143">
      <c r="A1143" s="83" t="s">
        <v>1068</v>
      </c>
    </row>
    <row r="1144">
      <c r="A1144" s="83" t="s">
        <v>223</v>
      </c>
    </row>
    <row r="1145">
      <c r="A1145" s="83" t="s">
        <v>223</v>
      </c>
    </row>
    <row r="1147">
      <c r="A1147" s="83" t="s">
        <v>1069</v>
      </c>
    </row>
    <row r="1148">
      <c r="A1148" s="83" t="s">
        <v>1070</v>
      </c>
    </row>
    <row r="1149">
      <c r="A1149" s="83" t="s">
        <v>1071</v>
      </c>
    </row>
    <row r="1150">
      <c r="A1150" s="83" t="s">
        <v>223</v>
      </c>
    </row>
    <row r="1151">
      <c r="A1151" s="83" t="s">
        <v>223</v>
      </c>
    </row>
    <row r="1153">
      <c r="A1153" s="83" t="s">
        <v>1072</v>
      </c>
    </row>
    <row r="1154">
      <c r="A1154" s="83" t="s">
        <v>1073</v>
      </c>
    </row>
    <row r="1155">
      <c r="A1155" s="83" t="s">
        <v>1074</v>
      </c>
    </row>
    <row r="1156">
      <c r="A1156" s="83" t="s">
        <v>1075</v>
      </c>
    </row>
    <row r="1157">
      <c r="A1157" s="83" t="s">
        <v>1076</v>
      </c>
    </row>
    <row r="1158">
      <c r="A1158" s="83" t="s">
        <v>1077</v>
      </c>
    </row>
    <row r="1159">
      <c r="A1159" s="83" t="s">
        <v>1078</v>
      </c>
    </row>
    <row r="1160">
      <c r="A1160" s="83" t="s">
        <v>220</v>
      </c>
    </row>
    <row r="1161">
      <c r="A1161" s="83" t="s">
        <v>223</v>
      </c>
    </row>
    <row r="1163">
      <c r="A1163" s="83" t="s">
        <v>1079</v>
      </c>
    </row>
    <row r="1164">
      <c r="A1164" s="83" t="s">
        <v>1080</v>
      </c>
    </row>
    <row r="1165">
      <c r="A1165" s="83" t="s">
        <v>1081</v>
      </c>
    </row>
    <row r="1166">
      <c r="A1166" s="83" t="s">
        <v>1082</v>
      </c>
    </row>
    <row r="1167">
      <c r="A1167" s="83" t="s">
        <v>1083</v>
      </c>
    </row>
    <row r="1169">
      <c r="A1169" s="83" t="s">
        <v>490</v>
      </c>
    </row>
    <row r="1170">
      <c r="A1170" s="83" t="s">
        <v>882</v>
      </c>
    </row>
    <row r="1172">
      <c r="A1172" s="83" t="s">
        <v>1084</v>
      </c>
    </row>
    <row r="1173">
      <c r="A1173" s="83" t="s">
        <v>1085</v>
      </c>
    </row>
    <row r="1175">
      <c r="A1175" s="83" t="s">
        <v>945</v>
      </c>
    </row>
    <row r="1176">
      <c r="A1176" s="83" t="s">
        <v>1086</v>
      </c>
    </row>
    <row r="1177">
      <c r="A1177" s="83" t="s">
        <v>1087</v>
      </c>
    </row>
    <row r="1179">
      <c r="A1179" s="83" t="s">
        <v>888</v>
      </c>
    </row>
    <row r="1180">
      <c r="A1180" s="83" t="s">
        <v>889</v>
      </c>
    </row>
    <row r="1181">
      <c r="A1181" s="83" t="s">
        <v>1061</v>
      </c>
    </row>
    <row r="1182">
      <c r="A1182" s="83" t="s">
        <v>1088</v>
      </c>
    </row>
    <row r="1184">
      <c r="A1184" s="83" t="s">
        <v>1089</v>
      </c>
    </row>
    <row r="1185">
      <c r="A1185" s="83" t="s">
        <v>1090</v>
      </c>
    </row>
    <row r="1186">
      <c r="A1186" s="83" t="s">
        <v>1091</v>
      </c>
    </row>
    <row r="1187">
      <c r="A1187" s="83" t="s">
        <v>1092</v>
      </c>
    </row>
    <row r="1188">
      <c r="A1188" s="83" t="s">
        <v>223</v>
      </c>
    </row>
    <row r="1190">
      <c r="A1190" s="83" t="s">
        <v>1064</v>
      </c>
    </row>
    <row r="1191">
      <c r="A1191" s="83" t="s">
        <v>1093</v>
      </c>
    </row>
    <row r="1192">
      <c r="A1192" s="83" t="s">
        <v>1094</v>
      </c>
    </row>
    <row r="1193">
      <c r="A1193" s="83" t="s">
        <v>223</v>
      </c>
    </row>
    <row r="1194">
      <c r="A1194" s="83" t="s">
        <v>932</v>
      </c>
    </row>
    <row r="1195">
      <c r="A1195" s="83" t="s">
        <v>1095</v>
      </c>
    </row>
    <row r="1196">
      <c r="A1196" s="83" t="s">
        <v>1096</v>
      </c>
    </row>
    <row r="1197">
      <c r="A1197" s="83" t="s">
        <v>1097</v>
      </c>
    </row>
    <row r="1198">
      <c r="A1198" s="83" t="s">
        <v>1098</v>
      </c>
    </row>
    <row r="1199">
      <c r="A1199" s="83" t="s">
        <v>223</v>
      </c>
    </row>
    <row r="1200">
      <c r="A1200" s="83" t="s">
        <v>223</v>
      </c>
    </row>
    <row r="1201">
      <c r="A1201" s="83" t="s">
        <v>223</v>
      </c>
    </row>
    <row r="1203">
      <c r="A1203" s="83" t="s">
        <v>1072</v>
      </c>
    </row>
    <row r="1204">
      <c r="A1204" s="83" t="s">
        <v>1099</v>
      </c>
    </row>
    <row r="1205">
      <c r="A1205" s="83" t="s">
        <v>1100</v>
      </c>
    </row>
    <row r="1206">
      <c r="A1206" s="83" t="s">
        <v>1101</v>
      </c>
    </row>
    <row r="1207">
      <c r="A1207" s="83" t="s">
        <v>1102</v>
      </c>
    </row>
    <row r="1208">
      <c r="A1208" s="83" t="s">
        <v>1103</v>
      </c>
    </row>
    <row r="1209">
      <c r="A1209" s="83" t="s">
        <v>220</v>
      </c>
    </row>
    <row r="1210">
      <c r="A1210" s="83" t="s">
        <v>223</v>
      </c>
    </row>
    <row r="1212">
      <c r="A1212" s="83" t="s">
        <v>1104</v>
      </c>
    </row>
    <row r="1213">
      <c r="A1213" s="83" t="s">
        <v>1105</v>
      </c>
    </row>
    <row r="1214">
      <c r="A1214" s="83" t="s">
        <v>1106</v>
      </c>
    </row>
    <row r="1215">
      <c r="A1215" s="83" t="s">
        <v>1107</v>
      </c>
    </row>
    <row r="1216">
      <c r="A1216" s="83" t="s">
        <v>1108</v>
      </c>
    </row>
    <row r="1218">
      <c r="A1218" s="83" t="s">
        <v>490</v>
      </c>
    </row>
    <row r="1219">
      <c r="A1219" s="83" t="s">
        <v>882</v>
      </c>
    </row>
    <row r="1221">
      <c r="A1221" s="83" t="s">
        <v>1084</v>
      </c>
    </row>
    <row r="1222">
      <c r="A1222" s="83" t="s">
        <v>1109</v>
      </c>
    </row>
    <row r="1224">
      <c r="A1224" s="83" t="s">
        <v>945</v>
      </c>
    </row>
    <row r="1225">
      <c r="A1225" s="83" t="s">
        <v>1086</v>
      </c>
    </row>
    <row r="1226">
      <c r="A1226" s="83" t="s">
        <v>1087</v>
      </c>
    </row>
    <row r="1228">
      <c r="A1228" s="83" t="s">
        <v>1088</v>
      </c>
    </row>
    <row r="1229">
      <c r="A1229" s="83" t="s">
        <v>1110</v>
      </c>
    </row>
    <row r="1230">
      <c r="A1230" s="83" t="s">
        <v>888</v>
      </c>
    </row>
    <row r="1231">
      <c r="A1231" s="83" t="s">
        <v>889</v>
      </c>
    </row>
    <row r="1232">
      <c r="A1232" s="83" t="s">
        <v>1061</v>
      </c>
    </row>
    <row r="1233">
      <c r="A1233" s="83" t="s">
        <v>1111</v>
      </c>
    </row>
    <row r="1235">
      <c r="A1235" s="83" t="s">
        <v>1112</v>
      </c>
    </row>
    <row r="1236">
      <c r="A1236" s="83" t="s">
        <v>932</v>
      </c>
    </row>
    <row r="1237">
      <c r="A1237" s="83" t="s">
        <v>1097</v>
      </c>
    </row>
    <row r="1238">
      <c r="A1238" s="83" t="s">
        <v>1098</v>
      </c>
    </row>
    <row r="1240">
      <c r="A1240" s="83" t="s">
        <v>1113</v>
      </c>
    </row>
    <row r="1241">
      <c r="A1241" s="83" t="s">
        <v>1114</v>
      </c>
    </row>
    <row r="1242">
      <c r="A1242" s="83" t="s">
        <v>223</v>
      </c>
    </row>
    <row r="1243">
      <c r="A1243" s="83" t="s">
        <v>223</v>
      </c>
    </row>
    <row r="1244">
      <c r="A1244" s="83" t="s">
        <v>223</v>
      </c>
    </row>
    <row r="1246">
      <c r="A1246" s="83" t="s">
        <v>1072</v>
      </c>
    </row>
    <row r="1247">
      <c r="A1247" s="83" t="s">
        <v>1115</v>
      </c>
    </row>
    <row r="1248">
      <c r="A1248" s="83" t="s">
        <v>1100</v>
      </c>
    </row>
    <row r="1249">
      <c r="A1249" s="83" t="s">
        <v>1101</v>
      </c>
    </row>
    <row r="1250">
      <c r="A1250" s="83" t="s">
        <v>1102</v>
      </c>
    </row>
    <row r="1251">
      <c r="A1251" s="83" t="s">
        <v>1116</v>
      </c>
    </row>
    <row r="1252">
      <c r="A1252" s="83" t="s">
        <v>1117</v>
      </c>
    </row>
    <row r="1253">
      <c r="A1253" s="83" t="s">
        <v>220</v>
      </c>
    </row>
    <row r="1254">
      <c r="A1254" s="83" t="s">
        <v>223</v>
      </c>
    </row>
    <row r="1256">
      <c r="A1256" s="83" t="s">
        <v>1118</v>
      </c>
    </row>
    <row r="1257">
      <c r="A1257" s="83" t="s">
        <v>490</v>
      </c>
    </row>
    <row r="1258">
      <c r="A1258" s="83" t="s">
        <v>882</v>
      </c>
    </row>
    <row r="1260">
      <c r="A1260" s="83" t="s">
        <v>1119</v>
      </c>
    </row>
    <row r="1262">
      <c r="A1262" s="83" t="s">
        <v>945</v>
      </c>
    </row>
    <row r="1263">
      <c r="A1263" s="83" t="s">
        <v>1062</v>
      </c>
    </row>
    <row r="1264">
      <c r="A1264" s="83" t="s">
        <v>1120</v>
      </c>
    </row>
    <row r="1266">
      <c r="A1266" s="83" t="s">
        <v>1121</v>
      </c>
    </row>
    <row r="1267">
      <c r="A1267" s="83" t="s">
        <v>1122</v>
      </c>
    </row>
    <row r="1268">
      <c r="A1268" s="83" t="s">
        <v>1123</v>
      </c>
    </row>
    <row r="1269">
      <c r="A1269" s="83" t="s">
        <v>1124</v>
      </c>
    </row>
    <row r="1270">
      <c r="A1270" s="83" t="s">
        <v>1125</v>
      </c>
    </row>
    <row r="1271">
      <c r="A1271" s="83" t="s">
        <v>1126</v>
      </c>
    </row>
    <row r="1272">
      <c r="A1272" s="83" t="s">
        <v>220</v>
      </c>
    </row>
    <row r="1273">
      <c r="A1273" s="83" t="s">
        <v>223</v>
      </c>
    </row>
    <row r="1275">
      <c r="A1275" s="83" t="s">
        <v>888</v>
      </c>
    </row>
    <row r="1276">
      <c r="A1276" s="83" t="s">
        <v>889</v>
      </c>
    </row>
    <row r="1277">
      <c r="A1277" s="83" t="s">
        <v>1061</v>
      </c>
    </row>
    <row r="1278">
      <c r="A1278" s="83" t="s">
        <v>1127</v>
      </c>
    </row>
    <row r="1280">
      <c r="A1280" s="83" t="s">
        <v>1128</v>
      </c>
    </row>
    <row r="1281">
      <c r="A1281" s="83" t="s">
        <v>932</v>
      </c>
    </row>
    <row r="1282">
      <c r="A1282" s="83" t="s">
        <v>1129</v>
      </c>
    </row>
    <row r="1283">
      <c r="A1283" s="83" t="s">
        <v>1130</v>
      </c>
    </row>
    <row r="1284">
      <c r="A1284" s="83" t="s">
        <v>1131</v>
      </c>
    </row>
    <row r="1285">
      <c r="A1285" s="83" t="s">
        <v>223</v>
      </c>
    </row>
    <row r="1286">
      <c r="A1286" s="83" t="s">
        <v>223</v>
      </c>
    </row>
    <row r="1288">
      <c r="A1288" s="83" t="s">
        <v>1132</v>
      </c>
    </row>
    <row r="1289">
      <c r="A1289" s="83" t="s">
        <v>223</v>
      </c>
    </row>
    <row r="1291">
      <c r="A1291" s="83" t="s">
        <v>1133</v>
      </c>
    </row>
    <row r="1292">
      <c r="A1292" s="83" t="s">
        <v>1134</v>
      </c>
    </row>
    <row r="1294">
      <c r="A1294" s="83" t="s">
        <v>1135</v>
      </c>
    </row>
    <row r="1295">
      <c r="A1295" s="83" t="s">
        <v>1136</v>
      </c>
    </row>
    <row r="1296">
      <c r="A1296" s="83" t="s">
        <v>1137</v>
      </c>
    </row>
    <row r="1297">
      <c r="A1297" s="83" t="s">
        <v>1138</v>
      </c>
    </row>
    <row r="1298">
      <c r="A1298" s="83" t="s">
        <v>1139</v>
      </c>
    </row>
    <row r="1299">
      <c r="A1299" s="83" t="s">
        <v>1140</v>
      </c>
    </row>
    <row r="1300">
      <c r="A1300" s="83" t="s">
        <v>1141</v>
      </c>
    </row>
    <row r="1301">
      <c r="A1301" s="83" t="s">
        <v>1142</v>
      </c>
    </row>
    <row r="1302">
      <c r="A1302" s="83" t="s">
        <v>1143</v>
      </c>
    </row>
    <row r="1303">
      <c r="A1303" s="83" t="s">
        <v>1144</v>
      </c>
    </row>
    <row r="1304">
      <c r="A1304" s="83" t="s">
        <v>1145</v>
      </c>
    </row>
    <row r="1305">
      <c r="A1305" s="83" t="s">
        <v>1146</v>
      </c>
    </row>
    <row r="1306">
      <c r="A1306" s="83" t="s">
        <v>1147</v>
      </c>
    </row>
    <row r="1307">
      <c r="A1307" s="83" t="s">
        <v>1148</v>
      </c>
    </row>
    <row r="1308">
      <c r="A1308" s="83" t="s">
        <v>1149</v>
      </c>
    </row>
    <row r="1309">
      <c r="A1309" s="83" t="s">
        <v>1150</v>
      </c>
    </row>
    <row r="1310">
      <c r="A1310" s="83" t="s">
        <v>1151</v>
      </c>
    </row>
    <row r="1311">
      <c r="A1311" s="83" t="s">
        <v>223</v>
      </c>
    </row>
    <row r="1312">
      <c r="A1312" s="83" t="s">
        <v>1152</v>
      </c>
    </row>
    <row r="1313">
      <c r="A1313" s="83" t="s">
        <v>1153</v>
      </c>
    </row>
    <row r="1314">
      <c r="A1314" s="83" t="s">
        <v>1154</v>
      </c>
    </row>
    <row r="1315">
      <c r="A1315" s="83" t="s">
        <v>1145</v>
      </c>
    </row>
    <row r="1316">
      <c r="A1316" s="83" t="s">
        <v>1146</v>
      </c>
    </row>
    <row r="1317">
      <c r="A1317" s="83" t="s">
        <v>1147</v>
      </c>
    </row>
    <row r="1318">
      <c r="A1318" s="83" t="s">
        <v>1148</v>
      </c>
    </row>
    <row r="1319">
      <c r="A1319" s="83" t="s">
        <v>1155</v>
      </c>
    </row>
    <row r="1320">
      <c r="A1320" s="83" t="s">
        <v>1156</v>
      </c>
    </row>
    <row r="1321">
      <c r="A1321" s="83" t="s">
        <v>1157</v>
      </c>
    </row>
    <row r="1322">
      <c r="A1322" s="83" t="s">
        <v>1158</v>
      </c>
    </row>
    <row r="1323">
      <c r="A1323" s="83" t="s">
        <v>223</v>
      </c>
    </row>
    <row r="1324">
      <c r="A1324" s="83" t="s">
        <v>1152</v>
      </c>
    </row>
    <row r="1325">
      <c r="A1325" s="83" t="s">
        <v>824</v>
      </c>
    </row>
    <row r="1326">
      <c r="A1326" s="83" t="s">
        <v>1159</v>
      </c>
    </row>
    <row r="1327">
      <c r="A1327" s="83" t="s">
        <v>1160</v>
      </c>
    </row>
    <row r="1328">
      <c r="A1328" s="83" t="s">
        <v>1161</v>
      </c>
    </row>
    <row r="1329">
      <c r="A1329" s="83" t="s">
        <v>1162</v>
      </c>
    </row>
    <row r="1330">
      <c r="A1330" s="83" t="s">
        <v>223</v>
      </c>
    </row>
    <row r="1331">
      <c r="A1331" s="83" t="s">
        <v>1163</v>
      </c>
    </row>
    <row r="1332">
      <c r="A1332" s="83" t="s">
        <v>223</v>
      </c>
    </row>
    <row r="1334">
      <c r="A1334" s="83" t="s">
        <v>1164</v>
      </c>
    </row>
    <row r="1336">
      <c r="A1336" s="83" t="s">
        <v>1165</v>
      </c>
    </row>
    <row r="1337">
      <c r="A1337" s="83" t="s">
        <v>1166</v>
      </c>
    </row>
    <row r="1338">
      <c r="A1338" s="83" t="s">
        <v>223</v>
      </c>
    </row>
    <row r="1340">
      <c r="A1340" s="83" t="s">
        <v>1167</v>
      </c>
    </row>
    <row r="1341">
      <c r="A1341" s="83" t="s">
        <v>1168</v>
      </c>
    </row>
    <row r="1342">
      <c r="A1342" s="83" t="s">
        <v>479</v>
      </c>
    </row>
    <row r="1343">
      <c r="A1343" s="83" t="s">
        <v>458</v>
      </c>
    </row>
    <row r="1344">
      <c r="A1344" s="83" t="s">
        <v>1036</v>
      </c>
    </row>
    <row r="1345">
      <c r="A1345" s="83" t="s">
        <v>1037</v>
      </c>
    </row>
    <row r="1346">
      <c r="A1346" s="83" t="s">
        <v>494</v>
      </c>
    </row>
    <row r="1347">
      <c r="A1347" s="83" t="s">
        <v>223</v>
      </c>
    </row>
    <row r="1349">
      <c r="A1349" s="83" t="s">
        <v>1169</v>
      </c>
    </row>
    <row r="1350">
      <c r="A1350" s="83" t="s">
        <v>1170</v>
      </c>
    </row>
    <row r="1351">
      <c r="A1351" s="83" t="s">
        <v>528</v>
      </c>
    </row>
    <row r="1352">
      <c r="A1352" s="83" t="s">
        <v>1171</v>
      </c>
    </row>
    <row r="1353">
      <c r="A1353" s="83" t="s">
        <v>550</v>
      </c>
    </row>
    <row r="1354">
      <c r="A1354" s="83" t="s">
        <v>223</v>
      </c>
    </row>
    <row r="1355">
      <c r="A1355" s="83" t="s">
        <v>223</v>
      </c>
    </row>
    <row r="1357">
      <c r="A1357" s="83" t="s">
        <v>1172</v>
      </c>
    </row>
    <row r="1358">
      <c r="A1358" s="83" t="s">
        <v>479</v>
      </c>
    </row>
    <row r="1359">
      <c r="A1359" s="83" t="s">
        <v>458</v>
      </c>
    </row>
    <row r="1360">
      <c r="A1360" s="83" t="s">
        <v>1036</v>
      </c>
    </row>
    <row r="1361">
      <c r="A1361" s="83" t="s">
        <v>1037</v>
      </c>
    </row>
    <row r="1362">
      <c r="A1362" s="83" t="s">
        <v>494</v>
      </c>
    </row>
    <row r="1363">
      <c r="A1363" s="83" t="s">
        <v>223</v>
      </c>
    </row>
    <row r="1365">
      <c r="A1365" s="83" t="s">
        <v>1173</v>
      </c>
    </row>
    <row r="1366">
      <c r="A1366" s="83" t="s">
        <v>1174</v>
      </c>
    </row>
    <row r="1367">
      <c r="A1367" s="83" t="s">
        <v>1175</v>
      </c>
    </row>
    <row r="1368">
      <c r="A1368" s="83" t="s">
        <v>528</v>
      </c>
    </row>
    <row r="1369">
      <c r="A1369" s="83" t="s">
        <v>1176</v>
      </c>
    </row>
    <row r="1370">
      <c r="A1370" s="83" t="s">
        <v>550</v>
      </c>
    </row>
    <row r="1371">
      <c r="A1371" s="83" t="s">
        <v>223</v>
      </c>
    </row>
    <row r="1372">
      <c r="A1372" s="83" t="s">
        <v>223</v>
      </c>
    </row>
    <row r="1374">
      <c r="A1374" s="83" t="s">
        <v>1177</v>
      </c>
    </row>
    <row r="1375">
      <c r="A1375" s="83" t="s">
        <v>479</v>
      </c>
    </row>
    <row r="1376">
      <c r="A1376" s="83" t="s">
        <v>458</v>
      </c>
    </row>
    <row r="1377">
      <c r="A1377" s="83" t="s">
        <v>1036</v>
      </c>
    </row>
    <row r="1378">
      <c r="A1378" s="83" t="s">
        <v>1037</v>
      </c>
    </row>
    <row r="1379">
      <c r="A1379" s="83" t="s">
        <v>494</v>
      </c>
    </row>
    <row r="1380">
      <c r="A1380" s="83" t="s">
        <v>223</v>
      </c>
    </row>
    <row r="1382">
      <c r="A1382" s="83" t="s">
        <v>1173</v>
      </c>
    </row>
    <row r="1383">
      <c r="A1383" s="83" t="s">
        <v>1178</v>
      </c>
    </row>
    <row r="1384">
      <c r="A1384" s="83" t="s">
        <v>1179</v>
      </c>
    </row>
    <row r="1385">
      <c r="A1385" s="83" t="s">
        <v>528</v>
      </c>
    </row>
    <row r="1386">
      <c r="A1386" s="83" t="s">
        <v>1180</v>
      </c>
    </row>
    <row r="1387">
      <c r="A1387" s="83" t="s">
        <v>550</v>
      </c>
    </row>
    <row r="1388">
      <c r="A1388" s="83" t="s">
        <v>223</v>
      </c>
    </row>
    <row r="1389">
      <c r="A1389" s="83" t="s">
        <v>223</v>
      </c>
    </row>
    <row r="1391">
      <c r="A1391" s="83" t="s">
        <v>1181</v>
      </c>
    </row>
    <row r="1392">
      <c r="A1392" s="83" t="s">
        <v>479</v>
      </c>
    </row>
    <row r="1393">
      <c r="A1393" s="83" t="s">
        <v>458</v>
      </c>
    </row>
    <row r="1394">
      <c r="A1394" s="83" t="s">
        <v>1036</v>
      </c>
    </row>
    <row r="1395">
      <c r="A1395" s="83" t="s">
        <v>1037</v>
      </c>
    </row>
    <row r="1396">
      <c r="A1396" s="83" t="s">
        <v>494</v>
      </c>
    </row>
    <row r="1397">
      <c r="A1397" s="83" t="s">
        <v>223</v>
      </c>
    </row>
    <row r="1399">
      <c r="A1399" s="83" t="s">
        <v>1182</v>
      </c>
    </row>
    <row r="1400">
      <c r="A1400" s="83" t="s">
        <v>1183</v>
      </c>
    </row>
    <row r="1401">
      <c r="A1401" s="83" t="s">
        <v>528</v>
      </c>
    </row>
    <row r="1402">
      <c r="A1402" s="83" t="s">
        <v>1184</v>
      </c>
    </row>
    <row r="1403">
      <c r="A1403" s="83" t="s">
        <v>550</v>
      </c>
    </row>
    <row r="1404">
      <c r="A1404" s="83" t="s">
        <v>223</v>
      </c>
    </row>
    <row r="1405">
      <c r="A1405" s="83" t="s">
        <v>223</v>
      </c>
    </row>
    <row r="1407">
      <c r="A1407" s="83" t="s">
        <v>1185</v>
      </c>
    </row>
    <row r="1408">
      <c r="A1408" s="83" t="s">
        <v>490</v>
      </c>
    </row>
    <row r="1409">
      <c r="A1409" s="83" t="s">
        <v>882</v>
      </c>
    </row>
    <row r="1410">
      <c r="A1410" s="83" t="s">
        <v>1186</v>
      </c>
    </row>
    <row r="1412">
      <c r="A1412" s="83" t="s">
        <v>945</v>
      </c>
    </row>
    <row r="1413">
      <c r="A1413" s="83" t="s">
        <v>1062</v>
      </c>
    </row>
    <row r="1414">
      <c r="A1414" s="83" t="s">
        <v>1120</v>
      </c>
    </row>
    <row r="1416">
      <c r="A1416" s="83" t="s">
        <v>1187</v>
      </c>
    </row>
    <row r="1417">
      <c r="A1417" s="83" t="s">
        <v>1188</v>
      </c>
    </row>
    <row r="1418">
      <c r="A1418" s="83" t="s">
        <v>223</v>
      </c>
    </row>
    <row r="1420">
      <c r="A1420" s="83" t="s">
        <v>888</v>
      </c>
    </row>
    <row r="1421">
      <c r="A1421" s="83" t="s">
        <v>889</v>
      </c>
    </row>
    <row r="1422">
      <c r="A1422" s="83" t="s">
        <v>1189</v>
      </c>
    </row>
    <row r="1423">
      <c r="A1423" s="83" t="s">
        <v>1190</v>
      </c>
    </row>
    <row r="1424">
      <c r="A1424" s="83" t="s">
        <v>1191</v>
      </c>
    </row>
    <row r="1425">
      <c r="A1425" s="83" t="s">
        <v>1192</v>
      </c>
    </row>
    <row r="1427">
      <c r="A1427" s="83" t="s">
        <v>891</v>
      </c>
    </row>
    <row r="1428">
      <c r="A1428" s="83" t="s">
        <v>1193</v>
      </c>
    </row>
    <row r="1429">
      <c r="A1429" s="83" t="s">
        <v>1194</v>
      </c>
    </row>
    <row r="1430">
      <c r="A1430" s="83" t="s">
        <v>1195</v>
      </c>
    </row>
    <row r="1431">
      <c r="A1431" s="83" t="s">
        <v>1196</v>
      </c>
    </row>
    <row r="1432">
      <c r="A1432" s="83" t="s">
        <v>1197</v>
      </c>
    </row>
    <row r="1433">
      <c r="A1433" s="83" t="s">
        <v>1194</v>
      </c>
    </row>
    <row r="1434">
      <c r="A1434" s="83" t="s">
        <v>1198</v>
      </c>
    </row>
    <row r="1435">
      <c r="A1435" s="83" t="s">
        <v>1199</v>
      </c>
    </row>
    <row r="1436">
      <c r="A1436" s="83" t="s">
        <v>1200</v>
      </c>
    </row>
    <row r="1437">
      <c r="A1437" s="83" t="s">
        <v>223</v>
      </c>
    </row>
    <row r="1438">
      <c r="A1438" s="83" t="s">
        <v>223</v>
      </c>
    </row>
    <row r="1440">
      <c r="A1440" s="83" t="s">
        <v>1201</v>
      </c>
    </row>
    <row r="1441">
      <c r="A1441" s="83" t="s">
        <v>223</v>
      </c>
    </row>
    <row r="1443">
      <c r="A1443" s="83" t="s">
        <v>1202</v>
      </c>
    </row>
    <row r="1444">
      <c r="A1444" s="83" t="s">
        <v>490</v>
      </c>
    </row>
    <row r="1445">
      <c r="A1445" s="83" t="s">
        <v>882</v>
      </c>
    </row>
    <row r="1446">
      <c r="A1446" s="83" t="s">
        <v>1203</v>
      </c>
    </row>
    <row r="1448">
      <c r="A1448" s="83" t="s">
        <v>945</v>
      </c>
    </row>
    <row r="1449">
      <c r="A1449" s="83" t="s">
        <v>1060</v>
      </c>
    </row>
    <row r="1450">
      <c r="A1450" s="83" t="s">
        <v>888</v>
      </c>
    </row>
    <row r="1451">
      <c r="A1451" s="83" t="s">
        <v>1190</v>
      </c>
    </row>
    <row r="1453">
      <c r="A1453" s="83" t="s">
        <v>1204</v>
      </c>
    </row>
    <row r="1454">
      <c r="A1454" s="83" t="s">
        <v>1205</v>
      </c>
    </row>
    <row r="1455">
      <c r="A1455" s="83" t="s">
        <v>1206</v>
      </c>
    </row>
    <row r="1456">
      <c r="A1456" s="83" t="s">
        <v>1207</v>
      </c>
    </row>
    <row r="1457">
      <c r="A1457" s="83" t="s">
        <v>1208</v>
      </c>
    </row>
    <row r="1458">
      <c r="A1458" s="83" t="s">
        <v>662</v>
      </c>
    </row>
    <row r="1459">
      <c r="A1459" s="83" t="s">
        <v>223</v>
      </c>
    </row>
    <row r="1460">
      <c r="A1460" s="83" t="s">
        <v>223</v>
      </c>
    </row>
    <row r="1462">
      <c r="A1462" s="83" t="s">
        <v>1209</v>
      </c>
    </row>
    <row r="1463">
      <c r="A1463" s="83" t="s">
        <v>223</v>
      </c>
    </row>
    <row r="1465">
      <c r="A1465" s="83" t="s">
        <v>1210</v>
      </c>
    </row>
    <row r="1466">
      <c r="A1466" s="83" t="s">
        <v>490</v>
      </c>
    </row>
    <row r="1467">
      <c r="A1467" s="83" t="s">
        <v>882</v>
      </c>
    </row>
    <row r="1468">
      <c r="A1468" s="83" t="s">
        <v>1211</v>
      </c>
    </row>
    <row r="1470">
      <c r="A1470" s="83" t="s">
        <v>945</v>
      </c>
    </row>
    <row r="1471">
      <c r="A1471" s="83" t="s">
        <v>1060</v>
      </c>
    </row>
    <row r="1472">
      <c r="A1472" s="83" t="s">
        <v>889</v>
      </c>
    </row>
    <row r="1473">
      <c r="A1473" s="83" t="s">
        <v>1191</v>
      </c>
    </row>
    <row r="1475">
      <c r="A1475" s="83" t="s">
        <v>1212</v>
      </c>
    </row>
    <row r="1476">
      <c r="A1476" s="83" t="s">
        <v>1213</v>
      </c>
    </row>
    <row r="1477">
      <c r="A1477" s="83" t="s">
        <v>1206</v>
      </c>
    </row>
    <row r="1478">
      <c r="A1478" s="83" t="s">
        <v>1207</v>
      </c>
    </row>
    <row r="1479">
      <c r="A1479" s="83" t="s">
        <v>1214</v>
      </c>
    </row>
    <row r="1480">
      <c r="A1480" s="83" t="s">
        <v>1215</v>
      </c>
    </row>
    <row r="1481">
      <c r="A1481" s="83" t="s">
        <v>662</v>
      </c>
    </row>
    <row r="1482">
      <c r="A1482" s="83" t="s">
        <v>223</v>
      </c>
    </row>
    <row r="1483">
      <c r="A1483" s="83" t="s">
        <v>223</v>
      </c>
    </row>
    <row r="1485">
      <c r="A1485" s="83" t="s">
        <v>1216</v>
      </c>
    </row>
    <row r="1486">
      <c r="A1486" s="83" t="s">
        <v>223</v>
      </c>
    </row>
    <row r="1488">
      <c r="A1488" s="83" t="s">
        <v>1217</v>
      </c>
    </row>
    <row r="1489">
      <c r="A1489" s="83" t="s">
        <v>490</v>
      </c>
    </row>
    <row r="1490">
      <c r="A1490" s="83" t="s">
        <v>882</v>
      </c>
    </row>
    <row r="1491">
      <c r="A1491" s="83" t="s">
        <v>1218</v>
      </c>
    </row>
    <row r="1493">
      <c r="A1493" s="83" t="s">
        <v>945</v>
      </c>
    </row>
    <row r="1494">
      <c r="A1494" s="83" t="s">
        <v>889</v>
      </c>
    </row>
    <row r="1495">
      <c r="A1495" s="83" t="s">
        <v>1192</v>
      </c>
    </row>
    <row r="1497">
      <c r="A1497" s="83" t="s">
        <v>1219</v>
      </c>
    </row>
    <row r="1498">
      <c r="A1498" s="83" t="s">
        <v>1220</v>
      </c>
    </row>
    <row r="1499">
      <c r="A1499" s="83" t="s">
        <v>1206</v>
      </c>
    </row>
    <row r="1500">
      <c r="A1500" s="83" t="s">
        <v>1207</v>
      </c>
    </row>
    <row r="1501">
      <c r="A1501" s="83" t="s">
        <v>1221</v>
      </c>
    </row>
    <row r="1502">
      <c r="A1502" s="83" t="s">
        <v>662</v>
      </c>
    </row>
    <row r="1503">
      <c r="A1503" s="83" t="s">
        <v>223</v>
      </c>
    </row>
    <row r="1504">
      <c r="A1504" s="83" t="s">
        <v>223</v>
      </c>
    </row>
    <row r="1506">
      <c r="A1506" s="83" t="s">
        <v>1222</v>
      </c>
    </row>
    <row r="1507">
      <c r="A1507" s="83" t="s">
        <v>223</v>
      </c>
    </row>
    <row r="1509">
      <c r="A1509" s="83" t="s">
        <v>1223</v>
      </c>
    </row>
    <row r="1510">
      <c r="A1510" s="83" t="s">
        <v>1224</v>
      </c>
    </row>
    <row r="1511">
      <c r="A1511" s="83" t="s">
        <v>1225</v>
      </c>
    </row>
    <row r="1513">
      <c r="A1513" s="83" t="s">
        <v>1226</v>
      </c>
    </row>
    <row r="1514">
      <c r="A1514" s="83" t="s">
        <v>1227</v>
      </c>
    </row>
    <row r="1515">
      <c r="A1515" s="83" t="s">
        <v>1228</v>
      </c>
    </row>
    <row r="1516">
      <c r="A1516" s="83" t="s">
        <v>1229</v>
      </c>
    </row>
    <row r="1517">
      <c r="A1517" s="83" t="s">
        <v>223</v>
      </c>
    </row>
    <row r="1519">
      <c r="A1519" s="83" t="s">
        <v>1230</v>
      </c>
    </row>
    <row r="1521">
      <c r="A1521" s="83" t="s">
        <v>1231</v>
      </c>
    </row>
    <row r="1522">
      <c r="A1522" s="83" t="s">
        <v>1232</v>
      </c>
    </row>
    <row r="1523">
      <c r="A1523" s="83" t="s">
        <v>223</v>
      </c>
    </row>
    <row r="1525">
      <c r="A1525" s="83" t="s">
        <v>1233</v>
      </c>
    </row>
    <row r="1526">
      <c r="A1526" s="83" t="s">
        <v>1134</v>
      </c>
    </row>
    <row r="1528">
      <c r="A1528" s="83" t="s">
        <v>1234</v>
      </c>
    </row>
    <row r="1529">
      <c r="A1529" s="83" t="s">
        <v>1235</v>
      </c>
    </row>
    <row r="1530">
      <c r="A1530" s="83" t="s">
        <v>824</v>
      </c>
    </row>
    <row r="1531">
      <c r="A1531" s="83" t="s">
        <v>1236</v>
      </c>
    </row>
    <row r="1533">
      <c r="A1533" s="83" t="s">
        <v>1237</v>
      </c>
    </row>
    <row r="1534">
      <c r="A1534" s="83" t="s">
        <v>1238</v>
      </c>
    </row>
    <row r="1535">
      <c r="A1535" s="83" t="s">
        <v>1239</v>
      </c>
    </row>
    <row r="1536">
      <c r="A1536" s="83" t="s">
        <v>1240</v>
      </c>
    </row>
    <row r="1537">
      <c r="A1537" s="83" t="s">
        <v>1241</v>
      </c>
    </row>
    <row r="1538">
      <c r="A1538" s="83" t="s">
        <v>223</v>
      </c>
    </row>
    <row r="1539">
      <c r="A1539" s="83" t="s">
        <v>1242</v>
      </c>
    </row>
    <row r="1541">
      <c r="A1541" s="83" t="s">
        <v>1243</v>
      </c>
    </row>
    <row r="1542">
      <c r="A1542" s="83" t="s">
        <v>1239</v>
      </c>
    </row>
    <row r="1543">
      <c r="A1543" s="83" t="s">
        <v>1240</v>
      </c>
    </row>
    <row r="1544">
      <c r="A1544" s="83" t="s">
        <v>1244</v>
      </c>
    </row>
    <row r="1545">
      <c r="A1545" s="83" t="s">
        <v>1245</v>
      </c>
    </row>
    <row r="1546">
      <c r="A1546" s="83" t="s">
        <v>223</v>
      </c>
    </row>
    <row r="1547">
      <c r="A1547" s="83" t="s">
        <v>1242</v>
      </c>
    </row>
    <row r="1548">
      <c r="A1548" s="83" t="s">
        <v>223</v>
      </c>
    </row>
    <row r="1550">
      <c r="A1550" s="83" t="s">
        <v>1163</v>
      </c>
    </row>
    <row r="1551">
      <c r="A1551" s="83" t="s">
        <v>223</v>
      </c>
    </row>
    <row r="1553">
      <c r="A1553" s="83" t="s">
        <v>1164</v>
      </c>
    </row>
    <row r="1555">
      <c r="A1555" s="83" t="s">
        <v>1231</v>
      </c>
    </row>
    <row r="1556">
      <c r="A1556" s="83" t="s">
        <v>1166</v>
      </c>
    </row>
    <row r="1557">
      <c r="A1557" s="83" t="s">
        <v>223</v>
      </c>
    </row>
    <row r="1559">
      <c r="A1559" s="83" t="s">
        <v>1246</v>
      </c>
    </row>
    <row r="1560">
      <c r="A1560" s="83" t="s">
        <v>1247</v>
      </c>
    </row>
    <row r="1561">
      <c r="A1561" s="83" t="s">
        <v>479</v>
      </c>
    </row>
    <row r="1562">
      <c r="A1562" s="83" t="s">
        <v>429</v>
      </c>
    </row>
    <row r="1563">
      <c r="A1563" s="83" t="s">
        <v>1248</v>
      </c>
    </row>
    <row r="1565">
      <c r="A1565" s="83" t="s">
        <v>1249</v>
      </c>
    </row>
    <row r="1567">
      <c r="A1567" s="83" t="s">
        <v>1250</v>
      </c>
    </row>
    <row r="1568">
      <c r="A1568" s="83" t="s">
        <v>1251</v>
      </c>
    </row>
    <row r="1569">
      <c r="A1569" s="83" t="s">
        <v>1252</v>
      </c>
    </row>
    <row r="1570">
      <c r="A1570" s="83" t="s">
        <v>494</v>
      </c>
    </row>
    <row r="1571">
      <c r="A1571" s="83" t="s">
        <v>223</v>
      </c>
    </row>
    <row r="1573">
      <c r="A1573" s="83" t="s">
        <v>458</v>
      </c>
    </row>
    <row r="1574">
      <c r="A1574" s="83" t="s">
        <v>1036</v>
      </c>
    </row>
    <row r="1575">
      <c r="A1575" s="83" t="s">
        <v>1253</v>
      </c>
    </row>
    <row r="1576">
      <c r="A1576" s="83" t="s">
        <v>494</v>
      </c>
    </row>
    <row r="1577">
      <c r="A1577" s="83" t="s">
        <v>223</v>
      </c>
    </row>
    <row r="1579">
      <c r="A1579" s="83" t="s">
        <v>1254</v>
      </c>
    </row>
    <row r="1580">
      <c r="A1580" s="83" t="s">
        <v>1255</v>
      </c>
    </row>
    <row r="1581">
      <c r="A1581" s="83" t="s">
        <v>528</v>
      </c>
    </row>
    <row r="1582">
      <c r="A1582" s="83" t="s">
        <v>1256</v>
      </c>
    </row>
    <row r="1583">
      <c r="A1583" s="83" t="s">
        <v>550</v>
      </c>
    </row>
    <row r="1584">
      <c r="A1584" s="83" t="s">
        <v>223</v>
      </c>
    </row>
    <row r="1585">
      <c r="A1585" s="83" t="s">
        <v>223</v>
      </c>
    </row>
    <row r="1587">
      <c r="A1587" s="83" t="s">
        <v>1257</v>
      </c>
    </row>
    <row r="1588">
      <c r="A1588" s="83" t="s">
        <v>490</v>
      </c>
    </row>
    <row r="1589">
      <c r="A1589" s="83" t="s">
        <v>882</v>
      </c>
    </row>
    <row r="1590">
      <c r="A1590" s="83" t="s">
        <v>1258</v>
      </c>
    </row>
    <row r="1591">
      <c r="A1591" s="83" t="s">
        <v>1259</v>
      </c>
    </row>
    <row r="1593">
      <c r="A1593" s="83" t="s">
        <v>945</v>
      </c>
    </row>
    <row r="1594">
      <c r="A1594" s="83" t="s">
        <v>1260</v>
      </c>
    </row>
    <row r="1595">
      <c r="A1595" s="83" t="s">
        <v>1261</v>
      </c>
    </row>
    <row r="1596">
      <c r="A1596" s="83" t="s">
        <v>1262</v>
      </c>
    </row>
    <row r="1597">
      <c r="A1597" s="83" t="s">
        <v>1263</v>
      </c>
    </row>
    <row r="1598">
      <c r="A1598" s="83" t="s">
        <v>1206</v>
      </c>
    </row>
    <row r="1599">
      <c r="A1599" s="83" t="s">
        <v>1264</v>
      </c>
    </row>
    <row r="1600">
      <c r="A1600" s="83" t="s">
        <v>1265</v>
      </c>
    </row>
    <row r="1601">
      <c r="A1601" s="83" t="s">
        <v>1214</v>
      </c>
    </row>
    <row r="1602">
      <c r="A1602" s="83" t="s">
        <v>1266</v>
      </c>
    </row>
    <row r="1603">
      <c r="A1603" s="83" t="s">
        <v>1267</v>
      </c>
    </row>
    <row r="1604">
      <c r="A1604" s="83" t="s">
        <v>1268</v>
      </c>
    </row>
    <row r="1605">
      <c r="A1605" s="83" t="s">
        <v>662</v>
      </c>
    </row>
    <row r="1606">
      <c r="A1606" s="83" t="s">
        <v>223</v>
      </c>
    </row>
    <row r="1607">
      <c r="A1607" s="83" t="s">
        <v>223</v>
      </c>
    </row>
    <row r="1609">
      <c r="A1609" s="83" t="s">
        <v>1269</v>
      </c>
    </row>
    <row r="1610">
      <c r="A1610" s="83" t="s">
        <v>223</v>
      </c>
    </row>
    <row r="1612">
      <c r="A1612" s="83" t="s">
        <v>1270</v>
      </c>
    </row>
    <row r="1613">
      <c r="A1613" s="83" t="s">
        <v>1271</v>
      </c>
    </row>
    <row r="1615">
      <c r="A1615" s="83" t="s">
        <v>1272</v>
      </c>
    </row>
    <row r="1616">
      <c r="A1616" s="83" t="s">
        <v>1273</v>
      </c>
    </row>
    <row r="1617">
      <c r="A1617" s="83" t="s">
        <v>824</v>
      </c>
    </row>
    <row r="1618">
      <c r="A1618" s="83" t="s">
        <v>1274</v>
      </c>
    </row>
    <row r="1619">
      <c r="A1619" s="83" t="s">
        <v>1236</v>
      </c>
    </row>
    <row r="1620">
      <c r="A1620" s="83" t="s">
        <v>1275</v>
      </c>
    </row>
    <row r="1622">
      <c r="A1622" s="83" t="s">
        <v>1276</v>
      </c>
    </row>
    <row r="1623">
      <c r="A1623" s="83" t="s">
        <v>1277</v>
      </c>
    </row>
    <row r="1624">
      <c r="A1624" s="83" t="s">
        <v>1278</v>
      </c>
    </row>
    <row r="1625">
      <c r="A1625" s="83" t="s">
        <v>1279</v>
      </c>
    </row>
    <row r="1626">
      <c r="A1626" s="83" t="s">
        <v>1280</v>
      </c>
    </row>
    <row r="1628">
      <c r="A1628" s="83" t="s">
        <v>1239</v>
      </c>
    </row>
    <row r="1629">
      <c r="A1629" s="83" t="s">
        <v>1281</v>
      </c>
    </row>
    <row r="1630">
      <c r="A1630" s="83" t="s">
        <v>1282</v>
      </c>
    </row>
    <row r="1631">
      <c r="A1631" s="83" t="s">
        <v>1283</v>
      </c>
    </row>
    <row r="1632">
      <c r="A1632" s="83" t="s">
        <v>1284</v>
      </c>
    </row>
    <row r="1633">
      <c r="A1633" s="83" t="s">
        <v>1285</v>
      </c>
    </row>
    <row r="1634">
      <c r="A1634" s="83" t="s">
        <v>1286</v>
      </c>
    </row>
    <row r="1635">
      <c r="A1635" s="83" t="s">
        <v>1287</v>
      </c>
    </row>
    <row r="1636">
      <c r="A1636" s="83" t="s">
        <v>1242</v>
      </c>
    </row>
    <row r="1637">
      <c r="A1637" s="83" t="s">
        <v>223</v>
      </c>
    </row>
    <row r="1639">
      <c r="A1639" s="83" t="s">
        <v>1163</v>
      </c>
    </row>
    <row r="1641">
      <c r="A1641" s="83" t="s">
        <v>1288</v>
      </c>
    </row>
    <row r="1642">
      <c r="A1642" s="83" t="s">
        <v>1289</v>
      </c>
    </row>
    <row r="1643">
      <c r="A1643" s="83" t="s">
        <v>1290</v>
      </c>
    </row>
    <row r="1644">
      <c r="A1644" s="83" t="s">
        <v>1291</v>
      </c>
    </row>
    <row r="1645">
      <c r="A1645" s="83" t="s">
        <v>223</v>
      </c>
    </row>
    <row r="1647">
      <c r="A1647" s="83" t="s">
        <v>1164</v>
      </c>
    </row>
    <row r="1649">
      <c r="A1649" s="83" t="s">
        <v>1292</v>
      </c>
    </row>
    <row r="1650">
      <c r="A1650" s="83" t="s">
        <v>1293</v>
      </c>
    </row>
    <row r="1651">
      <c r="A1651" s="83" t="s">
        <v>223</v>
      </c>
    </row>
    <row r="1653">
      <c r="A1653" s="83" t="s">
        <v>1294</v>
      </c>
    </row>
    <row r="1654">
      <c r="A1654" s="83" t="s">
        <v>1295</v>
      </c>
    </row>
    <row r="1655">
      <c r="A1655" s="83" t="s">
        <v>479</v>
      </c>
    </row>
    <row r="1656">
      <c r="A1656" s="83" t="s">
        <v>710</v>
      </c>
    </row>
    <row r="1657">
      <c r="A1657" s="83" t="s">
        <v>711</v>
      </c>
    </row>
    <row r="1658">
      <c r="A1658" s="83" t="s">
        <v>712</v>
      </c>
    </row>
    <row r="1659">
      <c r="A1659" s="83" t="s">
        <v>494</v>
      </c>
    </row>
    <row r="1660">
      <c r="A1660" s="83" t="s">
        <v>223</v>
      </c>
    </row>
    <row r="1662">
      <c r="A1662" s="83" t="s">
        <v>1296</v>
      </c>
    </row>
    <row r="1663">
      <c r="A1663" s="83" t="s">
        <v>1297</v>
      </c>
    </row>
    <row r="1664">
      <c r="A1664" s="83" t="s">
        <v>1298</v>
      </c>
    </row>
    <row r="1665">
      <c r="A1665" s="83" t="s">
        <v>494</v>
      </c>
    </row>
    <row r="1666">
      <c r="A1666" s="83" t="s">
        <v>223</v>
      </c>
    </row>
    <row r="1668">
      <c r="A1668" s="83" t="s">
        <v>1299</v>
      </c>
    </row>
    <row r="1669">
      <c r="A1669" s="83" t="s">
        <v>1300</v>
      </c>
    </row>
    <row r="1671">
      <c r="A1671" s="83" t="s">
        <v>1301</v>
      </c>
    </row>
    <row r="1672">
      <c r="A1672" s="83" t="s">
        <v>1302</v>
      </c>
    </row>
    <row r="1673">
      <c r="A1673" s="83" t="s">
        <v>494</v>
      </c>
    </row>
    <row r="1674">
      <c r="A1674" s="83" t="s">
        <v>223</v>
      </c>
    </row>
    <row r="1676">
      <c r="A1676" s="83" t="s">
        <v>429</v>
      </c>
    </row>
    <row r="1677">
      <c r="A1677" s="83" t="s">
        <v>1303</v>
      </c>
    </row>
    <row r="1678">
      <c r="A1678" s="83" t="s">
        <v>1304</v>
      </c>
    </row>
    <row r="1679">
      <c r="A1679" s="83" t="s">
        <v>1305</v>
      </c>
    </row>
    <row r="1681">
      <c r="A1681" s="83" t="s">
        <v>1306</v>
      </c>
    </row>
    <row r="1683">
      <c r="A1683" s="83" t="s">
        <v>490</v>
      </c>
    </row>
    <row r="1684">
      <c r="A1684" s="83" t="s">
        <v>1307</v>
      </c>
    </row>
    <row r="1686">
      <c r="A1686" s="83" t="s">
        <v>1308</v>
      </c>
    </row>
    <row r="1687">
      <c r="A1687" s="83" t="s">
        <v>479</v>
      </c>
    </row>
    <row r="1688">
      <c r="A1688" s="83" t="s">
        <v>497</v>
      </c>
    </row>
    <row r="1689">
      <c r="A1689" s="83" t="s">
        <v>716</v>
      </c>
    </row>
    <row r="1690">
      <c r="A1690" s="83" t="s">
        <v>1309</v>
      </c>
    </row>
    <row r="1691">
      <c r="A1691" s="83" t="s">
        <v>528</v>
      </c>
    </row>
    <row r="1692">
      <c r="A1692" s="83" t="s">
        <v>1310</v>
      </c>
    </row>
    <row r="1693">
      <c r="A1693" s="83" t="s">
        <v>223</v>
      </c>
    </row>
    <row r="1694">
      <c r="A1694" s="83" t="s">
        <v>223</v>
      </c>
    </row>
    <row r="1696">
      <c r="A1696" s="83" t="s">
        <v>1311</v>
      </c>
    </row>
    <row r="1697">
      <c r="A1697" s="83" t="s">
        <v>528</v>
      </c>
    </row>
    <row r="1698">
      <c r="A1698" s="83" t="s">
        <v>1312</v>
      </c>
    </row>
    <row r="1699">
      <c r="A1699" s="83" t="s">
        <v>550</v>
      </c>
    </row>
    <row r="1700">
      <c r="A1700" s="83" t="s">
        <v>223</v>
      </c>
    </row>
    <row r="1701">
      <c r="A1701" s="83" t="s">
        <v>223</v>
      </c>
    </row>
    <row r="1703">
      <c r="A1703" s="83" t="s">
        <v>1313</v>
      </c>
    </row>
    <row r="1704">
      <c r="A1704" s="83" t="s">
        <v>479</v>
      </c>
    </row>
    <row r="1705">
      <c r="A1705" s="83" t="s">
        <v>710</v>
      </c>
    </row>
    <row r="1706">
      <c r="A1706" s="83" t="s">
        <v>711</v>
      </c>
    </row>
    <row r="1707">
      <c r="A1707" s="83" t="s">
        <v>712</v>
      </c>
    </row>
    <row r="1708">
      <c r="A1708" s="83" t="s">
        <v>494</v>
      </c>
    </row>
    <row r="1709">
      <c r="A1709" s="83" t="s">
        <v>223</v>
      </c>
    </row>
    <row r="1711">
      <c r="A1711" s="83" t="s">
        <v>1296</v>
      </c>
    </row>
    <row r="1712">
      <c r="A1712" s="83" t="s">
        <v>1297</v>
      </c>
    </row>
    <row r="1713">
      <c r="A1713" s="83" t="s">
        <v>1298</v>
      </c>
    </row>
    <row r="1714">
      <c r="A1714" s="83" t="s">
        <v>494</v>
      </c>
    </row>
    <row r="1715">
      <c r="A1715" s="83" t="s">
        <v>223</v>
      </c>
    </row>
    <row r="1717">
      <c r="A1717" s="83" t="s">
        <v>1299</v>
      </c>
    </row>
    <row r="1718">
      <c r="A1718" s="83" t="s">
        <v>1300</v>
      </c>
    </row>
    <row r="1720">
      <c r="A1720" s="83" t="s">
        <v>1301</v>
      </c>
    </row>
    <row r="1721">
      <c r="A1721" s="83" t="s">
        <v>1302</v>
      </c>
    </row>
    <row r="1722">
      <c r="A1722" s="83" t="s">
        <v>494</v>
      </c>
    </row>
    <row r="1723">
      <c r="A1723" s="83" t="s">
        <v>223</v>
      </c>
    </row>
    <row r="1725">
      <c r="A1725" s="83" t="s">
        <v>429</v>
      </c>
    </row>
    <row r="1726">
      <c r="A1726" s="83" t="s">
        <v>1314</v>
      </c>
    </row>
    <row r="1727">
      <c r="A1727" s="83" t="s">
        <v>1315</v>
      </c>
    </row>
    <row r="1729">
      <c r="A1729" s="83" t="s">
        <v>1249</v>
      </c>
    </row>
    <row r="1731">
      <c r="A1731" s="83" t="s">
        <v>1316</v>
      </c>
    </row>
    <row r="1732">
      <c r="A1732" s="83" t="s">
        <v>1317</v>
      </c>
    </row>
    <row r="1734">
      <c r="A1734" s="83" t="s">
        <v>1318</v>
      </c>
    </row>
    <row r="1735">
      <c r="A1735" s="83" t="s">
        <v>1319</v>
      </c>
    </row>
    <row r="1736">
      <c r="A1736" s="83" t="s">
        <v>494</v>
      </c>
    </row>
    <row r="1737">
      <c r="A1737" s="83" t="s">
        <v>223</v>
      </c>
    </row>
    <row r="1739">
      <c r="A1739" s="83" t="s">
        <v>490</v>
      </c>
    </row>
    <row r="1740">
      <c r="A1740" s="83" t="s">
        <v>1320</v>
      </c>
    </row>
    <row r="1741">
      <c r="A1741" s="83" t="s">
        <v>1321</v>
      </c>
    </row>
    <row r="1742">
      <c r="A1742" s="83" t="s">
        <v>494</v>
      </c>
    </row>
    <row r="1743">
      <c r="A1743" s="83" t="s">
        <v>223</v>
      </c>
    </row>
    <row r="1745">
      <c r="A1745" s="83" t="s">
        <v>1307</v>
      </c>
    </row>
    <row r="1746">
      <c r="A1746" s="83" t="s">
        <v>1308</v>
      </c>
    </row>
    <row r="1747">
      <c r="A1747" s="83" t="s">
        <v>1322</v>
      </c>
    </row>
    <row r="1748">
      <c r="A1748" s="83" t="s">
        <v>497</v>
      </c>
    </row>
    <row r="1749">
      <c r="A1749" s="83" t="s">
        <v>1309</v>
      </c>
    </row>
    <row r="1750">
      <c r="A1750" s="83" t="s">
        <v>223</v>
      </c>
    </row>
    <row r="1752">
      <c r="A1752" s="83" t="s">
        <v>1323</v>
      </c>
    </row>
    <row r="1753">
      <c r="A1753" s="83" t="s">
        <v>528</v>
      </c>
    </row>
    <row r="1754">
      <c r="A1754" s="83" t="s">
        <v>1324</v>
      </c>
    </row>
    <row r="1755">
      <c r="A1755" s="83" t="s">
        <v>550</v>
      </c>
    </row>
    <row r="1756">
      <c r="A1756" s="83" t="s">
        <v>223</v>
      </c>
    </row>
    <row r="1757">
      <c r="A1757" s="83" t="s">
        <v>223</v>
      </c>
    </row>
    <row r="1759">
      <c r="A1759" s="83" t="s">
        <v>1325</v>
      </c>
    </row>
    <row r="1760">
      <c r="A1760" s="83" t="s">
        <v>479</v>
      </c>
    </row>
    <row r="1761">
      <c r="A1761" s="83" t="s">
        <v>710</v>
      </c>
    </row>
    <row r="1762">
      <c r="A1762" s="83" t="s">
        <v>711</v>
      </c>
    </row>
    <row r="1763">
      <c r="A1763" s="83" t="s">
        <v>712</v>
      </c>
    </row>
    <row r="1764">
      <c r="A1764" s="83" t="s">
        <v>494</v>
      </c>
    </row>
    <row r="1765">
      <c r="A1765" s="83" t="s">
        <v>223</v>
      </c>
    </row>
    <row r="1767">
      <c r="A1767" s="83" t="s">
        <v>1296</v>
      </c>
    </row>
    <row r="1768">
      <c r="A1768" s="83" t="s">
        <v>1297</v>
      </c>
    </row>
    <row r="1769">
      <c r="A1769" s="83" t="s">
        <v>1298</v>
      </c>
    </row>
    <row r="1770">
      <c r="A1770" s="83" t="s">
        <v>494</v>
      </c>
    </row>
    <row r="1771">
      <c r="A1771" s="83" t="s">
        <v>223</v>
      </c>
    </row>
    <row r="1773">
      <c r="A1773" s="83" t="s">
        <v>1299</v>
      </c>
    </row>
    <row r="1774">
      <c r="A1774" s="83" t="s">
        <v>1300</v>
      </c>
    </row>
    <row r="1776">
      <c r="A1776" s="83" t="s">
        <v>1301</v>
      </c>
    </row>
    <row r="1777">
      <c r="A1777" s="83" t="s">
        <v>1302</v>
      </c>
    </row>
    <row r="1778">
      <c r="A1778" s="83" t="s">
        <v>494</v>
      </c>
    </row>
    <row r="1779">
      <c r="A1779" s="83" t="s">
        <v>223</v>
      </c>
    </row>
    <row r="1781">
      <c r="A1781" s="83" t="s">
        <v>429</v>
      </c>
    </row>
    <row r="1782">
      <c r="A1782" s="83" t="s">
        <v>1326</v>
      </c>
    </row>
    <row r="1783">
      <c r="A1783" s="83" t="s">
        <v>1327</v>
      </c>
    </row>
    <row r="1784">
      <c r="A1784" s="83" t="s">
        <v>1305</v>
      </c>
    </row>
    <row r="1786">
      <c r="A1786" s="83" t="s">
        <v>1306</v>
      </c>
    </row>
    <row r="1788">
      <c r="A1788" s="83" t="s">
        <v>490</v>
      </c>
    </row>
    <row r="1789">
      <c r="A1789" s="83" t="s">
        <v>1328</v>
      </c>
    </row>
    <row r="1790">
      <c r="A1790" s="83" t="s">
        <v>1329</v>
      </c>
    </row>
    <row r="1791">
      <c r="A1791" s="83" t="s">
        <v>494</v>
      </c>
    </row>
    <row r="1792">
      <c r="A1792" s="83" t="s">
        <v>223</v>
      </c>
    </row>
    <row r="1794">
      <c r="A1794" s="83" t="s">
        <v>1307</v>
      </c>
    </row>
    <row r="1795">
      <c r="A1795" s="83" t="s">
        <v>1308</v>
      </c>
    </row>
    <row r="1796">
      <c r="A1796" s="83" t="s">
        <v>1330</v>
      </c>
    </row>
    <row r="1797">
      <c r="A1797" s="83" t="s">
        <v>1331</v>
      </c>
    </row>
    <row r="1799">
      <c r="A1799" s="83" t="s">
        <v>891</v>
      </c>
    </row>
    <row r="1800">
      <c r="A1800" s="83" t="s">
        <v>1332</v>
      </c>
    </row>
    <row r="1801">
      <c r="A1801" s="83" t="s">
        <v>1333</v>
      </c>
    </row>
    <row r="1802">
      <c r="A1802" s="83" t="s">
        <v>517</v>
      </c>
    </row>
    <row r="1803">
      <c r="A1803" s="83" t="s">
        <v>518</v>
      </c>
    </row>
    <row r="1804">
      <c r="A1804" s="83" t="s">
        <v>223</v>
      </c>
    </row>
    <row r="1805">
      <c r="A1805" s="83" t="s">
        <v>519</v>
      </c>
    </row>
    <row r="1807">
      <c r="A1807" s="83" t="s">
        <v>521</v>
      </c>
    </row>
    <row r="1808">
      <c r="A1808" s="83" t="s">
        <v>522</v>
      </c>
    </row>
    <row r="1809">
      <c r="A1809" s="83" t="s">
        <v>223</v>
      </c>
    </row>
    <row r="1811">
      <c r="A1811" s="83" t="s">
        <v>497</v>
      </c>
    </row>
    <row r="1812">
      <c r="A1812" s="83" t="s">
        <v>523</v>
      </c>
    </row>
    <row r="1813">
      <c r="A1813" s="83" t="s">
        <v>1309</v>
      </c>
    </row>
    <row r="1814">
      <c r="A1814" s="83" t="s">
        <v>223</v>
      </c>
    </row>
    <row r="1815">
      <c r="A1815" s="83" t="s">
        <v>223</v>
      </c>
    </row>
    <row r="1817">
      <c r="A1817" s="83" t="s">
        <v>1334</v>
      </c>
    </row>
    <row r="1818">
      <c r="A1818" s="83" t="s">
        <v>528</v>
      </c>
    </row>
    <row r="1819">
      <c r="A1819" s="83" t="s">
        <v>1335</v>
      </c>
    </row>
    <row r="1820">
      <c r="A1820" s="83" t="s">
        <v>550</v>
      </c>
    </row>
    <row r="1821">
      <c r="A1821" s="83" t="s">
        <v>223</v>
      </c>
    </row>
    <row r="1822">
      <c r="A1822" s="83" t="s">
        <v>223</v>
      </c>
    </row>
    <row r="1824">
      <c r="A1824" s="83" t="s">
        <v>1336</v>
      </c>
    </row>
    <row r="1825">
      <c r="A1825" s="83" t="s">
        <v>479</v>
      </c>
    </row>
    <row r="1826">
      <c r="A1826" s="83" t="s">
        <v>458</v>
      </c>
    </row>
    <row r="1827">
      <c r="A1827" s="83" t="s">
        <v>1036</v>
      </c>
    </row>
    <row r="1828">
      <c r="A1828" s="83" t="s">
        <v>1037</v>
      </c>
    </row>
    <row r="1829">
      <c r="A1829" s="83" t="s">
        <v>494</v>
      </c>
    </row>
    <row r="1830">
      <c r="A1830" s="83" t="s">
        <v>223</v>
      </c>
    </row>
    <row r="1832">
      <c r="A1832" s="83" t="s">
        <v>429</v>
      </c>
    </row>
    <row r="1833">
      <c r="A1833" s="83" t="s">
        <v>1337</v>
      </c>
    </row>
    <row r="1834">
      <c r="A1834" s="83" t="s">
        <v>1338</v>
      </c>
    </row>
    <row r="1835">
      <c r="A1835" s="83" t="s">
        <v>1305</v>
      </c>
    </row>
    <row r="1837">
      <c r="A1837" s="83" t="s">
        <v>1306</v>
      </c>
    </row>
    <row r="1839">
      <c r="A1839" s="83" t="s">
        <v>490</v>
      </c>
    </row>
    <row r="1840">
      <c r="A1840" s="83" t="s">
        <v>1339</v>
      </c>
    </row>
    <row r="1841">
      <c r="A1841" s="83" t="s">
        <v>1340</v>
      </c>
    </row>
    <row r="1842">
      <c r="A1842" s="83" t="s">
        <v>494</v>
      </c>
    </row>
    <row r="1843">
      <c r="A1843" s="83" t="s">
        <v>223</v>
      </c>
    </row>
    <row r="1845">
      <c r="A1845" s="83" t="s">
        <v>1341</v>
      </c>
    </row>
    <row r="1846">
      <c r="A1846" s="83" t="s">
        <v>1342</v>
      </c>
    </row>
    <row r="1847">
      <c r="A1847" s="83" t="s">
        <v>1343</v>
      </c>
    </row>
    <row r="1848">
      <c r="A1848" s="83" t="s">
        <v>1344</v>
      </c>
    </row>
    <row r="1849">
      <c r="A1849" s="83" t="s">
        <v>1345</v>
      </c>
    </row>
    <row r="1850">
      <c r="A1850" s="83" t="s">
        <v>1346</v>
      </c>
    </row>
    <row r="1851">
      <c r="A1851" s="83" t="s">
        <v>662</v>
      </c>
    </row>
    <row r="1853">
      <c r="A1853" s="83" t="s">
        <v>1347</v>
      </c>
    </row>
    <row r="1854">
      <c r="A1854" s="83" t="s">
        <v>1348</v>
      </c>
    </row>
    <row r="1856">
      <c r="A1856" s="83" t="s">
        <v>1349</v>
      </c>
    </row>
    <row r="1857">
      <c r="A1857" s="83" t="s">
        <v>528</v>
      </c>
    </row>
    <row r="1858">
      <c r="A1858" s="83" t="s">
        <v>1350</v>
      </c>
    </row>
    <row r="1859">
      <c r="A1859" s="83" t="s">
        <v>550</v>
      </c>
    </row>
    <row r="1860">
      <c r="A1860" s="83" t="s">
        <v>223</v>
      </c>
    </row>
    <row r="1861">
      <c r="A1861" s="83" t="s">
        <v>223</v>
      </c>
    </row>
    <row r="1863">
      <c r="A1863" s="83" t="s">
        <v>1351</v>
      </c>
    </row>
    <row r="1864">
      <c r="A1864" s="83" t="s">
        <v>479</v>
      </c>
    </row>
    <row r="1865">
      <c r="A1865" s="83" t="s">
        <v>1352</v>
      </c>
    </row>
    <row r="1866">
      <c r="A1866" s="83" t="s">
        <v>528</v>
      </c>
    </row>
    <row r="1867">
      <c r="A1867" s="83" t="s">
        <v>1353</v>
      </c>
    </row>
    <row r="1868">
      <c r="A1868" s="83" t="s">
        <v>550</v>
      </c>
    </row>
    <row r="1869">
      <c r="A1869" s="83" t="s">
        <v>223</v>
      </c>
    </row>
    <row r="1870">
      <c r="A1870" s="83" t="s">
        <v>223</v>
      </c>
    </row>
    <row r="1872">
      <c r="A1872" s="83" t="s">
        <v>1354</v>
      </c>
    </row>
    <row r="1873">
      <c r="A1873" s="83" t="s">
        <v>1355</v>
      </c>
    </row>
    <row r="1874">
      <c r="A1874" s="83" t="s">
        <v>479</v>
      </c>
    </row>
    <row r="1875">
      <c r="A1875" s="83" t="s">
        <v>527</v>
      </c>
    </row>
    <row r="1876">
      <c r="A1876" s="83" t="s">
        <v>1356</v>
      </c>
    </row>
    <row r="1877">
      <c r="A1877" s="83" t="s">
        <v>528</v>
      </c>
    </row>
    <row r="1878">
      <c r="A1878" s="83" t="s">
        <v>1357</v>
      </c>
    </row>
    <row r="1879">
      <c r="A1879" s="83" t="s">
        <v>1358</v>
      </c>
    </row>
    <row r="1880">
      <c r="A1880" s="83" t="s">
        <v>223</v>
      </c>
    </row>
    <row r="1881">
      <c r="A1881" s="83" t="s">
        <v>223</v>
      </c>
    </row>
    <row r="1883">
      <c r="A1883" s="83" t="s">
        <v>1359</v>
      </c>
    </row>
    <row r="1884">
      <c r="A1884" s="83" t="s">
        <v>1360</v>
      </c>
    </row>
    <row r="1885">
      <c r="A1885" s="83" t="s">
        <v>1361</v>
      </c>
    </row>
    <row r="1886">
      <c r="A1886" s="83" t="s">
        <v>1362</v>
      </c>
    </row>
    <row r="1888">
      <c r="A1888" s="83" t="s">
        <v>1363</v>
      </c>
    </row>
    <row r="1889">
      <c r="A1889" s="83" t="s">
        <v>1364</v>
      </c>
    </row>
    <row r="1890">
      <c r="A1890" s="83" t="s">
        <v>223</v>
      </c>
    </row>
    <row r="1892">
      <c r="A1892" s="83" t="s">
        <v>1365</v>
      </c>
    </row>
    <row r="1893">
      <c r="A1893" s="83" t="s">
        <v>1366</v>
      </c>
    </row>
    <row r="1894">
      <c r="A1894" s="83" t="s">
        <v>223</v>
      </c>
    </row>
    <row r="1896">
      <c r="A1896" s="83" t="s">
        <v>1038</v>
      </c>
    </row>
    <row r="1897">
      <c r="A1897" s="83" t="s">
        <v>1367</v>
      </c>
    </row>
    <row r="1899">
      <c r="A1899" s="83" t="s">
        <v>1368</v>
      </c>
    </row>
    <row r="1900">
      <c r="A1900" s="83" t="s">
        <v>1369</v>
      </c>
    </row>
    <row r="1902">
      <c r="A1902" s="83" t="s">
        <v>1370</v>
      </c>
    </row>
    <row r="1903">
      <c r="A1903" s="83" t="s">
        <v>1371</v>
      </c>
    </row>
    <row r="1904">
      <c r="A1904" s="83" t="s">
        <v>1372</v>
      </c>
    </row>
    <row r="1906">
      <c r="A1906" s="83" t="s">
        <v>1373</v>
      </c>
    </row>
    <row r="1907">
      <c r="A1907" s="83" t="s">
        <v>1374</v>
      </c>
    </row>
    <row r="1908">
      <c r="A1908" s="83" t="s">
        <v>1375</v>
      </c>
    </row>
    <row r="1909">
      <c r="A1909" s="83" t="s">
        <v>1376</v>
      </c>
    </row>
    <row r="1910">
      <c r="A1910" s="83" t="s">
        <v>1377</v>
      </c>
    </row>
    <row r="1911">
      <c r="A1911" s="83" t="s">
        <v>1378</v>
      </c>
    </row>
    <row r="1912">
      <c r="A1912" s="83" t="s">
        <v>1379</v>
      </c>
    </row>
    <row r="1914">
      <c r="A1914" s="83" t="s">
        <v>945</v>
      </c>
    </row>
    <row r="1915">
      <c r="A1915" s="83" t="s">
        <v>1059</v>
      </c>
    </row>
    <row r="1917">
      <c r="A1917" s="83" t="s">
        <v>1380</v>
      </c>
    </row>
    <row r="1918">
      <c r="A1918" s="83" t="s">
        <v>1381</v>
      </c>
    </row>
    <row r="1919">
      <c r="A1919" s="83" t="s">
        <v>1382</v>
      </c>
    </row>
    <row r="1920">
      <c r="A1920" s="83" t="s">
        <v>1383</v>
      </c>
    </row>
    <row r="1921">
      <c r="A1921" s="83" t="s">
        <v>1384</v>
      </c>
    </row>
    <row r="1922">
      <c r="A1922" s="83" t="s">
        <v>1385</v>
      </c>
    </row>
    <row r="1923">
      <c r="A1923" s="83" t="s">
        <v>223</v>
      </c>
    </row>
    <row r="1924">
      <c r="A1924" s="83" t="s">
        <v>223</v>
      </c>
    </row>
    <row r="1926">
      <c r="A1926" s="83" t="s">
        <v>1386</v>
      </c>
    </row>
    <row r="1927">
      <c r="A1927" s="83" t="s">
        <v>1387</v>
      </c>
    </row>
    <row r="1928">
      <c r="A1928" s="83" t="s">
        <v>1388</v>
      </c>
    </row>
    <row r="1929">
      <c r="A1929" s="83" t="s">
        <v>1389</v>
      </c>
    </row>
    <row r="1930">
      <c r="A1930" s="83" t="s">
        <v>1390</v>
      </c>
    </row>
    <row r="1931">
      <c r="A1931" s="83" t="s">
        <v>1391</v>
      </c>
    </row>
    <row r="1932">
      <c r="A1932" s="83" t="s">
        <v>954</v>
      </c>
    </row>
    <row r="1933">
      <c r="A1933" s="83" t="s">
        <v>1392</v>
      </c>
    </row>
    <row r="1934">
      <c r="A1934" s="83" t="s">
        <v>223</v>
      </c>
    </row>
    <row r="1935">
      <c r="A1935" s="83" t="s">
        <v>223</v>
      </c>
    </row>
    <row r="1937">
      <c r="A1937" s="83" t="s">
        <v>888</v>
      </c>
    </row>
    <row r="1938">
      <c r="A1938" s="83" t="s">
        <v>889</v>
      </c>
    </row>
    <row r="1939">
      <c r="A1939" s="83" t="s">
        <v>900</v>
      </c>
    </row>
    <row r="1940">
      <c r="A1940" s="83" t="s">
        <v>1192</v>
      </c>
    </row>
    <row r="1941">
      <c r="A1941" s="83" t="s">
        <v>1393</v>
      </c>
    </row>
    <row r="1942">
      <c r="A1942" s="83" t="s">
        <v>1061</v>
      </c>
    </row>
    <row r="1944">
      <c r="A1944" s="83" t="s">
        <v>1394</v>
      </c>
    </row>
    <row r="1945">
      <c r="A1945" s="83" t="s">
        <v>1395</v>
      </c>
    </row>
    <row r="1946">
      <c r="A1946" s="83" t="s">
        <v>1396</v>
      </c>
    </row>
    <row r="1947">
      <c r="A1947" s="83" t="s">
        <v>1064</v>
      </c>
    </row>
    <row r="1948">
      <c r="A1948" s="83" t="s">
        <v>1397</v>
      </c>
    </row>
    <row r="1949">
      <c r="A1949" s="83" t="s">
        <v>984</v>
      </c>
    </row>
    <row r="1950">
      <c r="A1950" s="83" t="s">
        <v>1398</v>
      </c>
    </row>
    <row r="1951">
      <c r="A1951" s="83" t="s">
        <v>1399</v>
      </c>
    </row>
    <row r="1952">
      <c r="A1952" s="83" t="s">
        <v>1400</v>
      </c>
    </row>
    <row r="1953">
      <c r="A1953" s="83" t="s">
        <v>223</v>
      </c>
    </row>
    <row r="1954">
      <c r="A1954" s="83" t="s">
        <v>1401</v>
      </c>
    </row>
    <row r="1955">
      <c r="A1955" s="83" t="s">
        <v>1400</v>
      </c>
    </row>
    <row r="1956">
      <c r="A1956" s="83" t="s">
        <v>223</v>
      </c>
    </row>
    <row r="1957">
      <c r="A1957" s="83" t="s">
        <v>223</v>
      </c>
    </row>
    <row r="1959">
      <c r="A1959" s="83" t="s">
        <v>1402</v>
      </c>
    </row>
    <row r="1960">
      <c r="A1960" s="83" t="s">
        <v>932</v>
      </c>
    </row>
    <row r="1961">
      <c r="A1961" s="83" t="s">
        <v>1403</v>
      </c>
    </row>
    <row r="1962">
      <c r="A1962" s="83" t="s">
        <v>955</v>
      </c>
    </row>
    <row r="1963">
      <c r="A1963" s="83" t="s">
        <v>1404</v>
      </c>
    </row>
    <row r="1964">
      <c r="A1964" s="83" t="s">
        <v>1405</v>
      </c>
    </row>
    <row r="1965">
      <c r="A1965" s="83" t="s">
        <v>1406</v>
      </c>
    </row>
    <row r="1967">
      <c r="A1967" s="83" t="s">
        <v>1407</v>
      </c>
    </row>
    <row r="1968">
      <c r="A1968" s="83" t="s">
        <v>1098</v>
      </c>
    </row>
    <row r="1970">
      <c r="A1970" s="83" t="s">
        <v>1408</v>
      </c>
    </row>
    <row r="1971">
      <c r="A1971" s="83" t="s">
        <v>1409</v>
      </c>
    </row>
    <row r="1972">
      <c r="A1972" s="83" t="s">
        <v>1410</v>
      </c>
    </row>
    <row r="1973">
      <c r="A1973" s="83" t="s">
        <v>1411</v>
      </c>
    </row>
    <row r="1974">
      <c r="A1974" s="83" t="s">
        <v>1412</v>
      </c>
    </row>
    <row r="1975">
      <c r="A1975" s="83" t="s">
        <v>223</v>
      </c>
    </row>
    <row r="1976">
      <c r="A1976" s="83" t="s">
        <v>223</v>
      </c>
    </row>
    <row r="1977">
      <c r="A1977" s="83" t="s">
        <v>1401</v>
      </c>
    </row>
    <row r="1978">
      <c r="A1978" s="83" t="s">
        <v>1406</v>
      </c>
    </row>
    <row r="1979">
      <c r="A1979" s="83" t="s">
        <v>1098</v>
      </c>
    </row>
    <row r="1980">
      <c r="A1980" s="83" t="s">
        <v>1409</v>
      </c>
    </row>
    <row r="1981">
      <c r="A1981" s="83" t="s">
        <v>1410</v>
      </c>
    </row>
    <row r="1982">
      <c r="A1982" s="83" t="s">
        <v>1411</v>
      </c>
    </row>
    <row r="1983">
      <c r="A1983" s="83" t="s">
        <v>1412</v>
      </c>
    </row>
    <row r="1984">
      <c r="A1984" s="83" t="s">
        <v>223</v>
      </c>
    </row>
    <row r="1985">
      <c r="A1985" s="83" t="s">
        <v>223</v>
      </c>
    </row>
    <row r="1986">
      <c r="A1986" s="83" t="s">
        <v>223</v>
      </c>
    </row>
    <row r="1988">
      <c r="A1988" s="83" t="s">
        <v>1413</v>
      </c>
    </row>
    <row r="1989">
      <c r="A1989" s="83" t="s">
        <v>1414</v>
      </c>
    </row>
    <row r="1990">
      <c r="A1990" s="83" t="s">
        <v>1403</v>
      </c>
    </row>
    <row r="1991">
      <c r="A1991" s="83" t="s">
        <v>955</v>
      </c>
    </row>
    <row r="1992">
      <c r="A1992" s="83" t="s">
        <v>1404</v>
      </c>
    </row>
    <row r="1993">
      <c r="A1993" s="83" t="s">
        <v>1405</v>
      </c>
    </row>
    <row r="1994">
      <c r="A1994" s="83" t="s">
        <v>1415</v>
      </c>
    </row>
    <row r="1995">
      <c r="A1995" s="83" t="s">
        <v>223</v>
      </c>
    </row>
    <row r="1996">
      <c r="A1996" s="83" t="s">
        <v>1401</v>
      </c>
    </row>
    <row r="1997">
      <c r="A1997" s="83" t="s">
        <v>1415</v>
      </c>
    </row>
    <row r="1998">
      <c r="A1998" s="83" t="s">
        <v>223</v>
      </c>
    </row>
    <row r="1999">
      <c r="A1999" s="83" t="s">
        <v>223</v>
      </c>
    </row>
    <row r="2001">
      <c r="A2001" s="83" t="s">
        <v>1416</v>
      </c>
    </row>
    <row r="2002">
      <c r="A2002" s="83" t="s">
        <v>1417</v>
      </c>
    </row>
    <row r="2003">
      <c r="A2003" s="83" t="s">
        <v>1418</v>
      </c>
    </row>
    <row r="2004">
      <c r="A2004" s="83" t="s">
        <v>1419</v>
      </c>
    </row>
    <row r="2005">
      <c r="A2005" s="83" t="s">
        <v>1420</v>
      </c>
    </row>
    <row r="2006">
      <c r="A2006" s="83" t="s">
        <v>1421</v>
      </c>
    </row>
    <row r="2007">
      <c r="A2007" s="83" t="s">
        <v>1422</v>
      </c>
    </row>
    <row r="2008">
      <c r="A2008" s="83" t="s">
        <v>223</v>
      </c>
    </row>
    <row r="2009">
      <c r="A2009" s="83" t="s">
        <v>1401</v>
      </c>
    </row>
    <row r="2010">
      <c r="A2010" s="83" t="s">
        <v>1422</v>
      </c>
    </row>
    <row r="2011">
      <c r="A2011" s="83" t="s">
        <v>223</v>
      </c>
    </row>
    <row r="2012">
      <c r="A2012" s="83" t="s">
        <v>223</v>
      </c>
    </row>
    <row r="2013">
      <c r="A2013" s="83" t="s">
        <v>223</v>
      </c>
    </row>
    <row r="2014">
      <c r="A2014" s="83" t="s">
        <v>223</v>
      </c>
    </row>
    <row r="2016">
      <c r="A2016" s="83" t="s">
        <v>1423</v>
      </c>
    </row>
    <row r="2017">
      <c r="A2017" s="83" t="s">
        <v>1424</v>
      </c>
    </row>
    <row r="2018">
      <c r="A2018" s="83" t="s">
        <v>1425</v>
      </c>
    </row>
    <row r="2019">
      <c r="A2019" s="83" t="s">
        <v>1426</v>
      </c>
    </row>
    <row r="2020">
      <c r="A2020" s="83" t="s">
        <v>1427</v>
      </c>
    </row>
    <row r="2021">
      <c r="A2021" s="83" t="s">
        <v>1428</v>
      </c>
    </row>
    <row r="2022">
      <c r="A2022" s="83" t="s">
        <v>1429</v>
      </c>
    </row>
    <row r="2023">
      <c r="A2023" s="83" t="s">
        <v>1430</v>
      </c>
    </row>
    <row r="2025">
      <c r="A2025" s="83" t="s">
        <v>1431</v>
      </c>
    </row>
    <row r="2026">
      <c r="A2026" s="83" t="s">
        <v>1432</v>
      </c>
    </row>
    <row r="2028">
      <c r="A2028" s="83" t="s">
        <v>1433</v>
      </c>
    </row>
    <row r="2029">
      <c r="A2029" s="83" t="s">
        <v>1434</v>
      </c>
    </row>
    <row r="2030">
      <c r="A2030" s="83" t="s">
        <v>1435</v>
      </c>
    </row>
    <row r="2031">
      <c r="A2031" s="83" t="s">
        <v>1436</v>
      </c>
    </row>
    <row r="2032">
      <c r="A2032" s="83" t="s">
        <v>1437</v>
      </c>
    </row>
    <row r="2034">
      <c r="A2034" s="83" t="s">
        <v>1438</v>
      </c>
    </row>
    <row r="2035">
      <c r="A2035" s="83" t="s">
        <v>1439</v>
      </c>
    </row>
    <row r="2036">
      <c r="A2036" s="83" t="s">
        <v>1440</v>
      </c>
    </row>
    <row r="2037">
      <c r="A2037" s="83" t="s">
        <v>824</v>
      </c>
    </row>
    <row r="2038">
      <c r="A2038" s="83" t="s">
        <v>1441</v>
      </c>
    </row>
    <row r="2039">
      <c r="A2039" s="83" t="s">
        <v>223</v>
      </c>
    </row>
    <row r="2040">
      <c r="A2040" s="83" t="s">
        <v>223</v>
      </c>
    </row>
    <row r="2042">
      <c r="A2042" s="83" t="s">
        <v>1442</v>
      </c>
    </row>
    <row r="2043">
      <c r="A2043" s="83" t="s">
        <v>1443</v>
      </c>
    </row>
    <row r="2044">
      <c r="A2044" s="83" t="s">
        <v>1444</v>
      </c>
    </row>
    <row r="2045">
      <c r="A2045" s="83" t="s">
        <v>1445</v>
      </c>
    </row>
    <row r="2046">
      <c r="A2046" s="83" t="s">
        <v>1446</v>
      </c>
    </row>
    <row r="2047">
      <c r="A2047" s="83" t="s">
        <v>662</v>
      </c>
    </row>
    <row r="2048">
      <c r="A2048" s="83" t="s">
        <v>223</v>
      </c>
    </row>
    <row r="2050">
      <c r="A2050" s="83" t="s">
        <v>1447</v>
      </c>
    </row>
    <row r="2051">
      <c r="A2051" s="83" t="s">
        <v>1448</v>
      </c>
    </row>
    <row r="2052">
      <c r="A2052" s="83" t="s">
        <v>479</v>
      </c>
    </row>
    <row r="2053">
      <c r="A2053" s="83" t="s">
        <v>1449</v>
      </c>
    </row>
    <row r="2054">
      <c r="A2054" s="83" t="s">
        <v>1450</v>
      </c>
    </row>
    <row r="2055">
      <c r="A2055" s="83" t="s">
        <v>528</v>
      </c>
    </row>
    <row r="2056">
      <c r="A2056" s="83" t="s">
        <v>1451</v>
      </c>
    </row>
    <row r="2057">
      <c r="A2057" s="83" t="s">
        <v>1452</v>
      </c>
    </row>
    <row r="2058">
      <c r="A2058" s="83" t="s">
        <v>223</v>
      </c>
    </row>
    <row r="2059">
      <c r="A2059" s="83" t="s">
        <v>223</v>
      </c>
    </row>
    <row r="2061">
      <c r="A2061" s="83" t="s">
        <v>1453</v>
      </c>
    </row>
    <row r="2062">
      <c r="A2062" s="83" t="s">
        <v>1454</v>
      </c>
    </row>
    <row r="2063">
      <c r="A2063" s="83" t="s">
        <v>1455</v>
      </c>
    </row>
    <row r="2065">
      <c r="A2065" s="83" t="s">
        <v>479</v>
      </c>
    </row>
    <row r="2066">
      <c r="A2066" s="83" t="s">
        <v>1456</v>
      </c>
    </row>
    <row r="2067">
      <c r="A2067" s="83" t="s">
        <v>1457</v>
      </c>
    </row>
    <row r="2068">
      <c r="A2068" s="83" t="s">
        <v>1458</v>
      </c>
    </row>
    <row r="2069">
      <c r="A2069" s="83" t="s">
        <v>1459</v>
      </c>
    </row>
    <row r="2071">
      <c r="A2071" s="83" t="s">
        <v>1460</v>
      </c>
    </row>
    <row r="2072">
      <c r="A2072" s="83" t="s">
        <v>1461</v>
      </c>
    </row>
    <row r="2073">
      <c r="A2073" s="83" t="s">
        <v>1462</v>
      </c>
    </row>
    <row r="2074">
      <c r="A2074" s="83" t="s">
        <v>1463</v>
      </c>
    </row>
    <row r="2075">
      <c r="A2075" s="83" t="s">
        <v>1464</v>
      </c>
    </row>
    <row r="2076">
      <c r="A2076" s="83" t="s">
        <v>662</v>
      </c>
    </row>
    <row r="2078">
      <c r="A2078" s="83" t="s">
        <v>1465</v>
      </c>
    </row>
    <row r="2079">
      <c r="A2079" s="83" t="s">
        <v>945</v>
      </c>
    </row>
    <row r="2080">
      <c r="A2080" s="83" t="s">
        <v>1466</v>
      </c>
    </row>
    <row r="2081">
      <c r="A2081" s="83" t="s">
        <v>1467</v>
      </c>
    </row>
    <row r="2083">
      <c r="A2083" s="83" t="s">
        <v>1468</v>
      </c>
    </row>
    <row r="2084">
      <c r="A2084" s="83" t="s">
        <v>1469</v>
      </c>
    </row>
    <row r="2085">
      <c r="A2085" s="83" t="s">
        <v>1470</v>
      </c>
    </row>
    <row r="2086">
      <c r="A2086" s="83" t="s">
        <v>223</v>
      </c>
    </row>
    <row r="2087">
      <c r="A2087" s="83" t="s">
        <v>223</v>
      </c>
    </row>
    <row r="2088">
      <c r="A2088" s="83" t="s">
        <v>223</v>
      </c>
    </row>
    <row r="2089">
      <c r="A2089" s="83" t="s">
        <v>223</v>
      </c>
    </row>
    <row r="2090">
      <c r="A2090" s="83" t="s">
        <v>528</v>
      </c>
    </row>
    <row r="2091">
      <c r="A2091" s="83" t="s">
        <v>1471</v>
      </c>
    </row>
    <row r="2092">
      <c r="A2092" s="83" t="s">
        <v>223</v>
      </c>
    </row>
    <row r="2094">
      <c r="A2094" s="83" t="s">
        <v>1472</v>
      </c>
    </row>
    <row r="2095">
      <c r="A2095" s="83" t="s">
        <v>223</v>
      </c>
    </row>
    <row r="2097">
      <c r="A2097" s="83" t="s">
        <v>1473</v>
      </c>
    </row>
    <row r="2098">
      <c r="A2098" s="83" t="s">
        <v>1474</v>
      </c>
    </row>
    <row r="2099">
      <c r="A2099" s="83" t="s">
        <v>1475</v>
      </c>
    </row>
    <row r="2101">
      <c r="A2101" s="83" t="s">
        <v>479</v>
      </c>
    </row>
    <row r="2102">
      <c r="A2102" s="83" t="s">
        <v>1456</v>
      </c>
    </row>
    <row r="2103">
      <c r="A2103" s="83" t="s">
        <v>1457</v>
      </c>
    </row>
    <row r="2104">
      <c r="A2104" s="83" t="s">
        <v>1458</v>
      </c>
    </row>
    <row r="2105">
      <c r="A2105" s="83" t="s">
        <v>1459</v>
      </c>
    </row>
    <row r="2107">
      <c r="A2107" s="83" t="s">
        <v>1476</v>
      </c>
    </row>
    <row r="2108">
      <c r="A2108" s="83" t="s">
        <v>1461</v>
      </c>
    </row>
    <row r="2109">
      <c r="A2109" s="83" t="s">
        <v>1477</v>
      </c>
    </row>
    <row r="2110">
      <c r="A2110" s="83" t="s">
        <v>1463</v>
      </c>
    </row>
    <row r="2111">
      <c r="A2111" s="83" t="s">
        <v>1478</v>
      </c>
    </row>
    <row r="2112">
      <c r="A2112" s="83" t="s">
        <v>662</v>
      </c>
    </row>
    <row r="2114">
      <c r="A2114" s="83" t="s">
        <v>1479</v>
      </c>
    </row>
    <row r="2115">
      <c r="A2115" s="83" t="s">
        <v>945</v>
      </c>
    </row>
    <row r="2116">
      <c r="A2116" s="83" t="s">
        <v>1466</v>
      </c>
    </row>
    <row r="2117">
      <c r="A2117" s="83" t="s">
        <v>1480</v>
      </c>
    </row>
    <row r="2119">
      <c r="A2119" s="83" t="s">
        <v>1481</v>
      </c>
    </row>
    <row r="2120">
      <c r="A2120" s="83" t="s">
        <v>1482</v>
      </c>
    </row>
    <row r="2121">
      <c r="A2121" s="83" t="s">
        <v>223</v>
      </c>
    </row>
    <row r="2122">
      <c r="A2122" s="83" t="s">
        <v>223</v>
      </c>
    </row>
    <row r="2123">
      <c r="A2123" s="83" t="s">
        <v>223</v>
      </c>
    </row>
    <row r="2124">
      <c r="A2124" s="83" t="s">
        <v>223</v>
      </c>
    </row>
    <row r="2125">
      <c r="A2125" s="83" t="s">
        <v>528</v>
      </c>
    </row>
    <row r="2126">
      <c r="A2126" s="83" t="s">
        <v>1483</v>
      </c>
    </row>
    <row r="2127">
      <c r="A2127" s="83" t="s">
        <v>223</v>
      </c>
    </row>
    <row r="2129">
      <c r="A2129" s="83" t="s">
        <v>1484</v>
      </c>
    </row>
    <row r="2130">
      <c r="A2130" s="83" t="s">
        <v>223</v>
      </c>
    </row>
    <row r="2132">
      <c r="A2132" s="83" t="s">
        <v>1485</v>
      </c>
    </row>
    <row r="2133">
      <c r="A2133" s="83" t="s">
        <v>1360</v>
      </c>
    </row>
    <row r="2134">
      <c r="A2134" s="83" t="s">
        <v>1361</v>
      </c>
    </row>
    <row r="2136">
      <c r="A2136" s="83" t="s">
        <v>1363</v>
      </c>
    </row>
    <row r="2137">
      <c r="A2137" s="83" t="s">
        <v>1364</v>
      </c>
    </row>
    <row r="2138">
      <c r="A2138" s="83" t="s">
        <v>223</v>
      </c>
    </row>
    <row r="2140">
      <c r="A2140" s="83" t="s">
        <v>1371</v>
      </c>
    </row>
    <row r="2141">
      <c r="A2141" s="83" t="s">
        <v>1372</v>
      </c>
    </row>
    <row r="2143">
      <c r="A2143" s="83" t="s">
        <v>1486</v>
      </c>
    </row>
    <row r="2144">
      <c r="A2144" s="83" t="s">
        <v>1487</v>
      </c>
    </row>
    <row r="2145">
      <c r="A2145" s="83" t="s">
        <v>1488</v>
      </c>
    </row>
    <row r="2147">
      <c r="A2147" s="83" t="s">
        <v>1489</v>
      </c>
    </row>
    <row r="2148">
      <c r="A2148" s="83" t="s">
        <v>945</v>
      </c>
    </row>
    <row r="2149">
      <c r="A2149" s="83" t="s">
        <v>1062</v>
      </c>
    </row>
    <row r="2150">
      <c r="A2150" s="83" t="s">
        <v>1120</v>
      </c>
    </row>
    <row r="2152">
      <c r="A2152" s="83" t="s">
        <v>888</v>
      </c>
    </row>
    <row r="2153">
      <c r="A2153" s="83" t="s">
        <v>889</v>
      </c>
    </row>
    <row r="2154">
      <c r="A2154" s="83" t="s">
        <v>1192</v>
      </c>
    </row>
    <row r="2155">
      <c r="A2155" s="83" t="s">
        <v>900</v>
      </c>
    </row>
    <row r="2156">
      <c r="A2156" s="83" t="s">
        <v>1189</v>
      </c>
    </row>
    <row r="2157">
      <c r="A2157" s="83" t="s">
        <v>1190</v>
      </c>
    </row>
    <row r="2158">
      <c r="A2158" s="83" t="s">
        <v>1191</v>
      </c>
    </row>
    <row r="2159">
      <c r="A2159" s="83" t="s">
        <v>1127</v>
      </c>
    </row>
    <row r="2161">
      <c r="A2161" s="83" t="s">
        <v>1490</v>
      </c>
    </row>
    <row r="2162">
      <c r="A2162" s="83" t="s">
        <v>1491</v>
      </c>
    </row>
    <row r="2163">
      <c r="A2163" s="83" t="s">
        <v>1492</v>
      </c>
    </row>
    <row r="2165">
      <c r="A2165" s="83" t="s">
        <v>891</v>
      </c>
    </row>
    <row r="2166">
      <c r="A2166" s="83" t="s">
        <v>1493</v>
      </c>
    </row>
    <row r="2167">
      <c r="A2167" s="83" t="s">
        <v>1494</v>
      </c>
    </row>
    <row r="2168">
      <c r="A2168" s="83" t="s">
        <v>1495</v>
      </c>
    </row>
    <row r="2169">
      <c r="A2169" s="83" t="s">
        <v>479</v>
      </c>
    </row>
    <row r="2170">
      <c r="A2170" s="83" t="s">
        <v>1496</v>
      </c>
    </row>
    <row r="2171">
      <c r="A2171" s="83" t="s">
        <v>1497</v>
      </c>
    </row>
    <row r="2172">
      <c r="A2172" s="83" t="s">
        <v>1498</v>
      </c>
    </row>
    <row r="2173">
      <c r="A2173" s="83" t="s">
        <v>1499</v>
      </c>
    </row>
    <row r="2174">
      <c r="A2174" s="83" t="s">
        <v>1500</v>
      </c>
    </row>
    <row r="2175">
      <c r="A2175" s="83" t="s">
        <v>1501</v>
      </c>
    </row>
    <row r="2176">
      <c r="A2176" s="83" t="s">
        <v>528</v>
      </c>
    </row>
    <row r="2177">
      <c r="A2177" s="83" t="s">
        <v>1502</v>
      </c>
    </row>
    <row r="2178">
      <c r="A2178" s="83" t="s">
        <v>223</v>
      </c>
    </row>
    <row r="2179">
      <c r="A2179" s="83" t="s">
        <v>223</v>
      </c>
    </row>
    <row r="2181">
      <c r="A2181" s="83" t="s">
        <v>1503</v>
      </c>
    </row>
    <row r="2182">
      <c r="A2182" s="83" t="s">
        <v>1504</v>
      </c>
    </row>
    <row r="2183">
      <c r="A2183" s="83" t="s">
        <v>1505</v>
      </c>
    </row>
    <row r="2184">
      <c r="A2184" s="83" t="s">
        <v>1506</v>
      </c>
    </row>
    <row r="2185">
      <c r="A2185" s="83" t="s">
        <v>1507</v>
      </c>
    </row>
    <row r="2186">
      <c r="A2186" s="83" t="s">
        <v>1508</v>
      </c>
    </row>
    <row r="2187">
      <c r="A2187" s="83" t="s">
        <v>220</v>
      </c>
    </row>
    <row r="2188">
      <c r="A2188" s="83" t="s">
        <v>1196</v>
      </c>
    </row>
    <row r="2189">
      <c r="A2189" s="83" t="s">
        <v>1509</v>
      </c>
    </row>
    <row r="2190">
      <c r="A2190" s="83" t="s">
        <v>1504</v>
      </c>
    </row>
    <row r="2191">
      <c r="A2191" s="83" t="s">
        <v>1505</v>
      </c>
    </row>
    <row r="2192">
      <c r="A2192" s="83" t="s">
        <v>1506</v>
      </c>
    </row>
    <row r="2193">
      <c r="A2193" s="83" t="s">
        <v>1510</v>
      </c>
    </row>
    <row r="2194">
      <c r="A2194" s="83" t="s">
        <v>1511</v>
      </c>
    </row>
    <row r="2195">
      <c r="A2195" s="83" t="s">
        <v>220</v>
      </c>
    </row>
    <row r="2196">
      <c r="A2196" s="83" t="s">
        <v>1199</v>
      </c>
    </row>
    <row r="2197">
      <c r="A2197" s="83" t="s">
        <v>1512</v>
      </c>
    </row>
    <row r="2198">
      <c r="A2198" s="83" t="s">
        <v>1513</v>
      </c>
    </row>
    <row r="2199">
      <c r="A2199" s="83" t="s">
        <v>1504</v>
      </c>
    </row>
    <row r="2200">
      <c r="A2200" s="83" t="s">
        <v>1514</v>
      </c>
    </row>
    <row r="2201">
      <c r="A2201" s="83" t="s">
        <v>1515</v>
      </c>
    </row>
    <row r="2202">
      <c r="A2202" s="83" t="s">
        <v>1507</v>
      </c>
    </row>
    <row r="2203">
      <c r="A2203" s="83" t="s">
        <v>1511</v>
      </c>
    </row>
    <row r="2204">
      <c r="A2204" s="83" t="s">
        <v>220</v>
      </c>
    </row>
    <row r="2205">
      <c r="A2205" s="83" t="s">
        <v>223</v>
      </c>
    </row>
    <row r="2207">
      <c r="A2207" s="83" t="s">
        <v>1516</v>
      </c>
    </row>
    <row r="2208">
      <c r="A2208" s="83" t="s">
        <v>1517</v>
      </c>
    </row>
    <row r="2209">
      <c r="A2209" s="83" t="s">
        <v>1518</v>
      </c>
    </row>
    <row r="2210">
      <c r="A2210" s="83" t="s">
        <v>1519</v>
      </c>
    </row>
    <row r="2211">
      <c r="A2211" s="83" t="s">
        <v>223</v>
      </c>
    </row>
    <row r="2212">
      <c r="A2212" s="83" t="s">
        <v>223</v>
      </c>
    </row>
    <row r="2214">
      <c r="A2214" s="83" t="s">
        <v>1520</v>
      </c>
    </row>
    <row r="2215">
      <c r="A2215" s="83" t="s">
        <v>1521</v>
      </c>
    </row>
    <row r="2216">
      <c r="A2216" s="83" t="s">
        <v>1522</v>
      </c>
    </row>
    <row r="2217">
      <c r="A2217" s="83" t="s">
        <v>1523</v>
      </c>
    </row>
    <row r="2219">
      <c r="A2219" s="83" t="s">
        <v>1524</v>
      </c>
    </row>
    <row r="2220">
      <c r="A2220" s="83" t="s">
        <v>1525</v>
      </c>
    </row>
    <row r="2221">
      <c r="A2221" s="83" t="s">
        <v>1526</v>
      </c>
    </row>
    <row r="2222">
      <c r="A2222" s="83" t="s">
        <v>1527</v>
      </c>
    </row>
    <row r="2224">
      <c r="A2224" s="83" t="s">
        <v>1528</v>
      </c>
    </row>
    <row r="2225">
      <c r="A2225" s="83" t="s">
        <v>1529</v>
      </c>
    </row>
    <row r="2226">
      <c r="A2226" s="83" t="s">
        <v>1530</v>
      </c>
    </row>
    <row r="2227">
      <c r="A2227" s="83" t="s">
        <v>1531</v>
      </c>
    </row>
    <row r="2228">
      <c r="A2228" s="83" t="s">
        <v>1532</v>
      </c>
    </row>
    <row r="2229">
      <c r="A2229" s="83" t="s">
        <v>1533</v>
      </c>
    </row>
    <row r="2230">
      <c r="A2230" s="83" t="s">
        <v>1534</v>
      </c>
    </row>
    <row r="2231">
      <c r="A2231" s="83" t="s">
        <v>662</v>
      </c>
    </row>
    <row r="2232">
      <c r="A2232" s="83" t="s">
        <v>824</v>
      </c>
    </row>
    <row r="2233">
      <c r="A2233" s="83" t="s">
        <v>1535</v>
      </c>
    </row>
    <row r="2234">
      <c r="A2234" s="83" t="s">
        <v>1536</v>
      </c>
    </row>
    <row r="2235">
      <c r="A2235" s="83" t="s">
        <v>1530</v>
      </c>
    </row>
    <row r="2236">
      <c r="A2236" s="83" t="s">
        <v>1531</v>
      </c>
    </row>
    <row r="2237">
      <c r="A2237" s="83" t="s">
        <v>1532</v>
      </c>
    </row>
    <row r="2238">
      <c r="A2238" s="83" t="s">
        <v>1537</v>
      </c>
    </row>
    <row r="2239">
      <c r="A2239" s="83" t="s">
        <v>1538</v>
      </c>
    </row>
    <row r="2240">
      <c r="A2240" s="83" t="s">
        <v>662</v>
      </c>
    </row>
    <row r="2241">
      <c r="A2241" s="83" t="s">
        <v>223</v>
      </c>
    </row>
    <row r="2242">
      <c r="A2242" s="83" t="s">
        <v>223</v>
      </c>
    </row>
    <row r="2244">
      <c r="A2244" s="83" t="s">
        <v>1539</v>
      </c>
    </row>
    <row r="2245">
      <c r="A2245" s="83" t="s">
        <v>1540</v>
      </c>
    </row>
    <row r="2246">
      <c r="A2246" s="83" t="s">
        <v>1541</v>
      </c>
    </row>
    <row r="2247">
      <c r="A2247" s="83" t="s">
        <v>1542</v>
      </c>
    </row>
    <row r="2248">
      <c r="A2248" s="83" t="s">
        <v>1543</v>
      </c>
    </row>
    <row r="2249">
      <c r="A2249" s="83" t="s">
        <v>1544</v>
      </c>
    </row>
    <row r="2250">
      <c r="A2250" s="83" t="s">
        <v>1545</v>
      </c>
    </row>
    <row r="2251">
      <c r="A2251" s="83" t="s">
        <v>220</v>
      </c>
    </row>
    <row r="2253">
      <c r="A2253" s="83" t="s">
        <v>1546</v>
      </c>
    </row>
    <row r="2254">
      <c r="A2254" s="83" t="s">
        <v>1038</v>
      </c>
    </row>
    <row r="2255">
      <c r="A2255" s="83" t="s">
        <v>1367</v>
      </c>
    </row>
    <row r="2256">
      <c r="A2256" s="83" t="s">
        <v>1547</v>
      </c>
    </row>
    <row r="2257">
      <c r="A2257" s="83" t="s">
        <v>1548</v>
      </c>
    </row>
    <row r="2258">
      <c r="A2258" s="83" t="s">
        <v>1549</v>
      </c>
    </row>
    <row r="2260">
      <c r="A2260" s="83" t="s">
        <v>1550</v>
      </c>
    </row>
    <row r="2261">
      <c r="A2261" s="83" t="s">
        <v>1551</v>
      </c>
    </row>
    <row r="2263">
      <c r="A2263" s="83" t="s">
        <v>1552</v>
      </c>
    </row>
    <row r="2264">
      <c r="A2264" s="83" t="s">
        <v>1553</v>
      </c>
    </row>
    <row r="2265">
      <c r="A2265" s="83" t="s">
        <v>945</v>
      </c>
    </row>
    <row r="2266">
      <c r="A2266" s="83" t="s">
        <v>888</v>
      </c>
    </row>
    <row r="2267">
      <c r="A2267" s="83" t="s">
        <v>889</v>
      </c>
    </row>
    <row r="2268">
      <c r="A2268" s="83" t="s">
        <v>1190</v>
      </c>
    </row>
    <row r="2269">
      <c r="A2269" s="83" t="s">
        <v>1127</v>
      </c>
    </row>
    <row r="2271">
      <c r="A2271" s="83" t="s">
        <v>1554</v>
      </c>
    </row>
    <row r="2272">
      <c r="A2272" s="83" t="s">
        <v>1555</v>
      </c>
    </row>
    <row r="2273">
      <c r="A2273" s="83" t="s">
        <v>479</v>
      </c>
    </row>
    <row r="2274">
      <c r="A2274" s="83" t="s">
        <v>1496</v>
      </c>
    </row>
    <row r="2275">
      <c r="A2275" s="83" t="s">
        <v>1556</v>
      </c>
    </row>
    <row r="2276">
      <c r="A2276" s="83" t="s">
        <v>1557</v>
      </c>
    </row>
    <row r="2277">
      <c r="A2277" s="83" t="s">
        <v>1558</v>
      </c>
    </row>
    <row r="2278">
      <c r="A2278" s="83" t="s">
        <v>1559</v>
      </c>
    </row>
    <row r="2280">
      <c r="A2280" s="83" t="s">
        <v>1560</v>
      </c>
    </row>
    <row r="2281">
      <c r="A2281" s="83" t="s">
        <v>1561</v>
      </c>
    </row>
    <row r="2282">
      <c r="A2282" s="83" t="s">
        <v>223</v>
      </c>
    </row>
    <row r="2283">
      <c r="A2283" s="83" t="s">
        <v>528</v>
      </c>
    </row>
    <row r="2284">
      <c r="A2284" s="83" t="s">
        <v>1562</v>
      </c>
    </row>
    <row r="2285">
      <c r="A2285" s="83" t="s">
        <v>223</v>
      </c>
    </row>
    <row r="2286">
      <c r="A2286" s="83" t="s">
        <v>223</v>
      </c>
    </row>
    <row r="2287">
      <c r="A2287" s="83" t="s">
        <v>223</v>
      </c>
    </row>
    <row r="2289">
      <c r="A2289" s="83" t="s">
        <v>1563</v>
      </c>
    </row>
    <row r="2290">
      <c r="A2290" s="83" t="s">
        <v>945</v>
      </c>
    </row>
    <row r="2291">
      <c r="A2291" s="83" t="s">
        <v>889</v>
      </c>
    </row>
    <row r="2292">
      <c r="A2292" s="83" t="s">
        <v>1191</v>
      </c>
    </row>
    <row r="2294">
      <c r="A2294" s="83" t="s">
        <v>1564</v>
      </c>
    </row>
    <row r="2295">
      <c r="A2295" s="83" t="s">
        <v>479</v>
      </c>
    </row>
    <row r="2296">
      <c r="A2296" s="83" t="s">
        <v>1565</v>
      </c>
    </row>
    <row r="2297">
      <c r="A2297" s="83" t="s">
        <v>1566</v>
      </c>
    </row>
    <row r="2298">
      <c r="A2298" s="83" t="s">
        <v>1567</v>
      </c>
    </row>
    <row r="2299">
      <c r="A2299" s="83" t="s">
        <v>1568</v>
      </c>
    </row>
    <row r="2300">
      <c r="A2300" s="83" t="s">
        <v>223</v>
      </c>
    </row>
    <row r="2301">
      <c r="A2301" s="83" t="s">
        <v>528</v>
      </c>
    </row>
    <row r="2302">
      <c r="A2302" s="83" t="s">
        <v>1569</v>
      </c>
    </row>
    <row r="2303">
      <c r="A2303" s="83" t="s">
        <v>223</v>
      </c>
    </row>
    <row r="2304">
      <c r="A2304" s="83" t="s">
        <v>223</v>
      </c>
    </row>
    <row r="2305">
      <c r="A2305" s="83" t="s">
        <v>223</v>
      </c>
    </row>
    <row r="2307">
      <c r="A2307" s="83" t="s">
        <v>1539</v>
      </c>
    </row>
    <row r="2308">
      <c r="A2308" s="83" t="s">
        <v>1570</v>
      </c>
    </row>
    <row r="2309">
      <c r="A2309" s="83" t="s">
        <v>1571</v>
      </c>
    </row>
    <row r="2310">
      <c r="A2310" s="83" t="s">
        <v>662</v>
      </c>
    </row>
    <row r="2312">
      <c r="A2312" s="83" t="s">
        <v>1072</v>
      </c>
    </row>
    <row r="2313">
      <c r="A2313" s="83" t="s">
        <v>1572</v>
      </c>
    </row>
    <row r="2314">
      <c r="A2314" s="83" t="s">
        <v>1573</v>
      </c>
    </row>
    <row r="2315">
      <c r="A2315" s="83" t="s">
        <v>1574</v>
      </c>
    </row>
    <row r="2316">
      <c r="A2316" s="83" t="s">
        <v>1575</v>
      </c>
    </row>
    <row r="2317">
      <c r="A2317" s="83" t="s">
        <v>1576</v>
      </c>
    </row>
    <row r="2318">
      <c r="A2318" s="83" t="s">
        <v>220</v>
      </c>
    </row>
    <row r="2319">
      <c r="A2319" s="83" t="s">
        <v>223</v>
      </c>
    </row>
    <row r="2321">
      <c r="A2321" s="83" t="s">
        <v>1577</v>
      </c>
    </row>
    <row r="2322">
      <c r="A2322" s="83" t="s">
        <v>1578</v>
      </c>
    </row>
    <row r="2324">
      <c r="A2324" s="83" t="s">
        <v>1579</v>
      </c>
    </row>
    <row r="2325">
      <c r="A2325" s="83" t="s">
        <v>1580</v>
      </c>
    </row>
    <row r="2326">
      <c r="A2326" s="83" t="s">
        <v>1581</v>
      </c>
    </row>
    <row r="2327">
      <c r="A2327" s="83" t="s">
        <v>1582</v>
      </c>
    </row>
    <row r="2328">
      <c r="A2328" s="83" t="s">
        <v>1583</v>
      </c>
    </row>
    <row r="2329">
      <c r="A2329" s="83" t="s">
        <v>1584</v>
      </c>
    </row>
    <row r="2330">
      <c r="A2330" s="83" t="s">
        <v>1585</v>
      </c>
    </row>
    <row r="2331">
      <c r="A2331" s="83" t="s">
        <v>1586</v>
      </c>
    </row>
    <row r="2332">
      <c r="A2332" s="83" t="s">
        <v>1587</v>
      </c>
    </row>
    <row r="2333">
      <c r="A2333" s="83" t="s">
        <v>1588</v>
      </c>
    </row>
    <row r="2334">
      <c r="A2334" s="83" t="s">
        <v>1589</v>
      </c>
    </row>
    <row r="2335">
      <c r="A2335" s="83" t="s">
        <v>1590</v>
      </c>
    </row>
    <row r="2336">
      <c r="A2336" s="83" t="s">
        <v>1591</v>
      </c>
    </row>
    <row r="2337">
      <c r="A2337" s="83" t="s">
        <v>1592</v>
      </c>
    </row>
    <row r="2338">
      <c r="A2338" s="83" t="s">
        <v>1593</v>
      </c>
    </row>
    <row r="2339">
      <c r="A2339" s="83" t="s">
        <v>1594</v>
      </c>
    </row>
    <row r="2340">
      <c r="A2340" s="83" t="s">
        <v>1595</v>
      </c>
    </row>
    <row r="2341">
      <c r="A2341" s="83" t="s">
        <v>1596</v>
      </c>
    </row>
    <row r="2342">
      <c r="A2342" s="83" t="s">
        <v>1597</v>
      </c>
    </row>
    <row r="2343">
      <c r="A2343" s="83" t="s">
        <v>1598</v>
      </c>
    </row>
    <row r="2344">
      <c r="A2344" s="83" t="s">
        <v>1599</v>
      </c>
    </row>
    <row r="2345">
      <c r="A2345" s="83" t="s">
        <v>1600</v>
      </c>
    </row>
    <row r="2346">
      <c r="A2346" s="83" t="s">
        <v>1601</v>
      </c>
    </row>
    <row r="2347">
      <c r="A2347" s="83" t="s">
        <v>1602</v>
      </c>
    </row>
    <row r="2348">
      <c r="A2348" s="83" t="s">
        <v>1603</v>
      </c>
    </row>
    <row r="2350">
      <c r="A2350" s="83" t="s">
        <v>1604</v>
      </c>
    </row>
    <row r="2351">
      <c r="A2351" s="83" t="s">
        <v>1605</v>
      </c>
    </row>
    <row r="2352">
      <c r="A2352" s="83" t="s">
        <v>1606</v>
      </c>
    </row>
    <row r="2353">
      <c r="A2353" s="83" t="s">
        <v>1607</v>
      </c>
    </row>
    <row r="2354">
      <c r="A2354" s="83" t="s">
        <v>223</v>
      </c>
    </row>
    <row r="2355">
      <c r="A2355" s="83" t="s">
        <v>1608</v>
      </c>
    </row>
    <row r="2356">
      <c r="A2356" s="83" t="s">
        <v>1609</v>
      </c>
    </row>
    <row r="2357">
      <c r="A2357" s="83" t="s">
        <v>1610</v>
      </c>
    </row>
    <row r="2358">
      <c r="A2358" s="83" t="s">
        <v>1611</v>
      </c>
    </row>
    <row r="2359">
      <c r="A2359" s="83" t="s">
        <v>1612</v>
      </c>
    </row>
    <row r="2360">
      <c r="A2360" s="83" t="s">
        <v>223</v>
      </c>
    </row>
    <row r="2361">
      <c r="A2361" s="83" t="s">
        <v>1613</v>
      </c>
    </row>
    <row r="2362">
      <c r="A2362" s="83" t="s">
        <v>1614</v>
      </c>
    </row>
    <row r="2363">
      <c r="A2363" s="83" t="s">
        <v>1615</v>
      </c>
    </row>
    <row r="2364">
      <c r="A2364" s="83" t="s">
        <v>1616</v>
      </c>
    </row>
    <row r="2365">
      <c r="A2365" s="83" t="s">
        <v>1617</v>
      </c>
    </row>
    <row r="2366">
      <c r="A2366" s="83" t="s">
        <v>1618</v>
      </c>
    </row>
    <row r="2367">
      <c r="A2367" s="83" t="s">
        <v>1619</v>
      </c>
    </row>
    <row r="2368">
      <c r="A2368" s="83" t="s">
        <v>1620</v>
      </c>
    </row>
    <row r="2369">
      <c r="A2369" s="83" t="s">
        <v>223</v>
      </c>
    </row>
    <row r="2370">
      <c r="A2370" s="83" t="s">
        <v>1621</v>
      </c>
    </row>
    <row r="2371">
      <c r="A2371" s="83" t="s">
        <v>1622</v>
      </c>
    </row>
    <row r="2372">
      <c r="A2372" s="83" t="s">
        <v>1623</v>
      </c>
    </row>
    <row r="2373">
      <c r="A2373" s="83" t="s">
        <v>1624</v>
      </c>
    </row>
    <row r="2374">
      <c r="A2374" s="83" t="s">
        <v>1616</v>
      </c>
    </row>
    <row r="2375">
      <c r="A2375" s="83" t="s">
        <v>1625</v>
      </c>
    </row>
    <row r="2376">
      <c r="A2376" s="83" t="s">
        <v>223</v>
      </c>
    </row>
    <row r="2377">
      <c r="A2377" s="83" t="s">
        <v>1626</v>
      </c>
    </row>
    <row r="2378">
      <c r="A2378" s="83" t="s">
        <v>1627</v>
      </c>
    </row>
    <row r="2379">
      <c r="A2379" s="83" t="s">
        <v>1628</v>
      </c>
    </row>
    <row r="2380">
      <c r="A2380" s="83" t="s">
        <v>1629</v>
      </c>
    </row>
    <row r="2381">
      <c r="A2381" s="83" t="s">
        <v>1630</v>
      </c>
    </row>
    <row r="2382">
      <c r="A2382" s="83" t="s">
        <v>223</v>
      </c>
    </row>
    <row r="2383">
      <c r="A2383" s="83" t="s">
        <v>1631</v>
      </c>
    </row>
    <row r="2384">
      <c r="A2384" s="83" t="s">
        <v>1632</v>
      </c>
    </row>
    <row r="2385">
      <c r="A2385" s="83" t="s">
        <v>1633</v>
      </c>
    </row>
    <row r="2386">
      <c r="A2386" s="83" t="s">
        <v>1634</v>
      </c>
    </row>
    <row r="2387">
      <c r="A2387" s="83" t="s">
        <v>1635</v>
      </c>
    </row>
    <row r="2388">
      <c r="A2388" s="83" t="s">
        <v>1615</v>
      </c>
    </row>
    <row r="2389">
      <c r="A2389" s="83" t="s">
        <v>223</v>
      </c>
    </row>
    <row r="2390">
      <c r="A2390" s="83" t="s">
        <v>1636</v>
      </c>
    </row>
    <row r="2391">
      <c r="A2391" s="83" t="s">
        <v>1637</v>
      </c>
    </row>
    <row r="2392">
      <c r="A2392" s="83" t="s">
        <v>1638</v>
      </c>
    </row>
    <row r="2393">
      <c r="A2393" s="83" t="s">
        <v>1639</v>
      </c>
    </row>
    <row r="2394">
      <c r="A2394" s="83" t="s">
        <v>1624</v>
      </c>
    </row>
    <row r="2395">
      <c r="A2395" s="83" t="s">
        <v>1616</v>
      </c>
    </row>
    <row r="2396">
      <c r="A2396" s="83" t="s">
        <v>223</v>
      </c>
    </row>
    <row r="2397">
      <c r="A2397" s="83" t="s">
        <v>1640</v>
      </c>
    </row>
    <row r="2398">
      <c r="A2398" s="83" t="s">
        <v>1624</v>
      </c>
    </row>
    <row r="2399">
      <c r="A2399" s="83" t="s">
        <v>1641</v>
      </c>
    </row>
    <row r="2400">
      <c r="A2400" s="83" t="s">
        <v>1642</v>
      </c>
    </row>
    <row r="2401">
      <c r="A2401" s="83" t="s">
        <v>1643</v>
      </c>
    </row>
    <row r="2402">
      <c r="A2402" s="83" t="s">
        <v>1629</v>
      </c>
    </row>
    <row r="2403">
      <c r="A2403" s="83" t="s">
        <v>1630</v>
      </c>
    </row>
    <row r="2404">
      <c r="A2404" s="83" t="s">
        <v>1644</v>
      </c>
    </row>
    <row r="2405">
      <c r="A2405" s="83" t="s">
        <v>1619</v>
      </c>
    </row>
    <row r="2406">
      <c r="A2406" s="83" t="s">
        <v>1620</v>
      </c>
    </row>
    <row r="2407">
      <c r="A2407" s="83" t="s">
        <v>223</v>
      </c>
    </row>
    <row r="2408">
      <c r="A2408" s="83" t="s">
        <v>1645</v>
      </c>
    </row>
    <row r="2409">
      <c r="A2409" s="83" t="s">
        <v>1646</v>
      </c>
    </row>
    <row r="2410">
      <c r="A2410" s="83" t="s">
        <v>1647</v>
      </c>
    </row>
    <row r="2411">
      <c r="A2411" s="83" t="s">
        <v>1648</v>
      </c>
    </row>
    <row r="2412">
      <c r="A2412" s="83" t="s">
        <v>223</v>
      </c>
    </row>
    <row r="2413">
      <c r="A2413" s="83" t="s">
        <v>1649</v>
      </c>
    </row>
    <row r="2414">
      <c r="A2414" s="83" t="s">
        <v>1650</v>
      </c>
    </row>
    <row r="2415">
      <c r="A2415" s="83" t="s">
        <v>1651</v>
      </c>
    </row>
    <row r="2416">
      <c r="A2416" s="83" t="s">
        <v>223</v>
      </c>
    </row>
    <row r="2417">
      <c r="A2417" s="83" t="s">
        <v>1652</v>
      </c>
    </row>
    <row r="2418">
      <c r="A2418" s="83" t="s">
        <v>1653</v>
      </c>
    </row>
    <row r="2419">
      <c r="A2419" s="83" t="s">
        <v>1654</v>
      </c>
    </row>
    <row r="2420">
      <c r="A2420" s="83" t="s">
        <v>223</v>
      </c>
    </row>
    <row r="2421">
      <c r="A2421" s="83" t="s">
        <v>1655</v>
      </c>
    </row>
    <row r="2422">
      <c r="A2422" s="83" t="s">
        <v>1656</v>
      </c>
    </row>
    <row r="2423">
      <c r="A2423" s="83" t="s">
        <v>1627</v>
      </c>
    </row>
    <row r="2424">
      <c r="A2424" s="83" t="s">
        <v>1657</v>
      </c>
    </row>
    <row r="2425">
      <c r="A2425" s="83" t="s">
        <v>1650</v>
      </c>
    </row>
    <row r="2426">
      <c r="A2426" s="83" t="s">
        <v>1629</v>
      </c>
    </row>
    <row r="2427">
      <c r="A2427" s="83" t="s">
        <v>1630</v>
      </c>
    </row>
    <row r="2428">
      <c r="A2428" s="83" t="s">
        <v>223</v>
      </c>
    </row>
    <row r="2429">
      <c r="A2429" s="83" t="s">
        <v>1658</v>
      </c>
    </row>
    <row r="2430">
      <c r="A2430" s="83" t="s">
        <v>1659</v>
      </c>
    </row>
    <row r="2431">
      <c r="A2431" s="83" t="s">
        <v>1660</v>
      </c>
    </row>
    <row r="2432">
      <c r="A2432" s="83" t="s">
        <v>223</v>
      </c>
    </row>
    <row r="2433">
      <c r="A2433" s="83" t="s">
        <v>1661</v>
      </c>
    </row>
    <row r="2434">
      <c r="A2434" s="83" t="s">
        <v>1662</v>
      </c>
    </row>
    <row r="2435">
      <c r="A2435" s="83" t="s">
        <v>1663</v>
      </c>
    </row>
    <row r="2436">
      <c r="A2436" s="83" t="s">
        <v>1664</v>
      </c>
    </row>
    <row r="2437">
      <c r="A2437" s="83" t="s">
        <v>223</v>
      </c>
    </row>
    <row r="2438">
      <c r="A2438" s="83" t="s">
        <v>1665</v>
      </c>
    </row>
    <row r="2439">
      <c r="A2439" s="83" t="s">
        <v>1666</v>
      </c>
    </row>
    <row r="2441">
      <c r="A2441" s="83" t="s">
        <v>1667</v>
      </c>
    </row>
    <row r="2442">
      <c r="A2442" s="83" t="s">
        <v>1668</v>
      </c>
    </row>
    <row r="2443">
      <c r="A2443" s="83" t="s">
        <v>1669</v>
      </c>
    </row>
    <row r="2444">
      <c r="A2444" s="83" t="s">
        <v>1670</v>
      </c>
    </row>
    <row r="2445">
      <c r="A2445" s="83" t="s">
        <v>1671</v>
      </c>
    </row>
    <row r="2447">
      <c r="A2447" s="83" t="s">
        <v>1672</v>
      </c>
    </row>
    <row r="2448">
      <c r="A2448" s="83" t="s">
        <v>1673</v>
      </c>
    </row>
    <row r="2449">
      <c r="A2449" s="83" t="s">
        <v>1674</v>
      </c>
    </row>
    <row r="2450">
      <c r="A2450" s="83" t="s">
        <v>1675</v>
      </c>
    </row>
    <row r="2451">
      <c r="A2451" s="83" t="s">
        <v>1676</v>
      </c>
    </row>
    <row r="2452">
      <c r="A2452" s="83" t="s">
        <v>1677</v>
      </c>
    </row>
    <row r="2453">
      <c r="A2453" s="83" t="s">
        <v>1678</v>
      </c>
    </row>
    <row r="2454">
      <c r="A2454" s="83" t="s">
        <v>1679</v>
      </c>
    </row>
    <row r="2455">
      <c r="A2455" s="83" t="s">
        <v>1680</v>
      </c>
    </row>
    <row r="2456">
      <c r="A2456" s="83" t="s">
        <v>1681</v>
      </c>
    </row>
    <row r="2458">
      <c r="A2458" s="83" t="s">
        <v>1682</v>
      </c>
    </row>
    <row r="2459">
      <c r="A2459" s="83" t="s">
        <v>1683</v>
      </c>
    </row>
    <row r="2461">
      <c r="A2461" s="83" t="s">
        <v>1684</v>
      </c>
    </row>
    <row r="2462">
      <c r="A2462" s="83" t="s">
        <v>1685</v>
      </c>
    </row>
    <row r="2463">
      <c r="A2463" s="83" t="s">
        <v>1686</v>
      </c>
    </row>
    <row r="2465">
      <c r="A2465" s="83" t="s">
        <v>1687</v>
      </c>
    </row>
    <row r="2466">
      <c r="A2466" s="83" t="s">
        <v>1688</v>
      </c>
    </row>
    <row r="2467">
      <c r="A2467" s="83" t="s">
        <v>1689</v>
      </c>
    </row>
    <row r="2468">
      <c r="A2468" s="83" t="s">
        <v>1690</v>
      </c>
    </row>
    <row r="2469">
      <c r="A2469" s="83" t="s">
        <v>223</v>
      </c>
    </row>
    <row r="2471">
      <c r="A2471" s="83" t="s">
        <v>1691</v>
      </c>
    </row>
    <row r="2472">
      <c r="A2472" s="83" t="s">
        <v>1692</v>
      </c>
    </row>
    <row r="2473">
      <c r="A2473" s="83" t="s">
        <v>1693</v>
      </c>
    </row>
    <row r="2474">
      <c r="A2474" s="83" t="s">
        <v>1694</v>
      </c>
    </row>
    <row r="2475">
      <c r="A2475" s="83" t="s">
        <v>223</v>
      </c>
    </row>
    <row r="2476">
      <c r="A2476" s="83" t="s">
        <v>1681</v>
      </c>
    </row>
    <row r="2477">
      <c r="A2477" s="83" t="s">
        <v>662</v>
      </c>
    </row>
    <row r="2479">
      <c r="A2479" s="83" t="s">
        <v>1681</v>
      </c>
    </row>
    <row r="2481">
      <c r="A2481" s="83" t="s">
        <v>1695</v>
      </c>
    </row>
    <row r="2482">
      <c r="A2482" s="83" t="s">
        <v>1696</v>
      </c>
    </row>
    <row r="2483">
      <c r="A2483" s="83" t="s">
        <v>1697</v>
      </c>
    </row>
    <row r="2484">
      <c r="A2484" s="83" t="s">
        <v>1698</v>
      </c>
    </row>
    <row r="2485">
      <c r="A2485" s="83" t="s">
        <v>1699</v>
      </c>
    </row>
    <row r="2486">
      <c r="A2486" s="83" t="s">
        <v>1700</v>
      </c>
    </row>
    <row r="2487">
      <c r="A2487" s="83" t="s">
        <v>1701</v>
      </c>
    </row>
    <row r="2488">
      <c r="A2488" s="83" t="s">
        <v>1681</v>
      </c>
    </row>
    <row r="2490">
      <c r="A2490" s="83" t="s">
        <v>1164</v>
      </c>
    </row>
    <row r="2492">
      <c r="A2492" s="83" t="s">
        <v>1702</v>
      </c>
    </row>
    <row r="2493">
      <c r="A2493" s="83" t="s">
        <v>1703</v>
      </c>
    </row>
    <row r="2494">
      <c r="A2494" s="83" t="s">
        <v>223</v>
      </c>
    </row>
    <row r="2496">
      <c r="A2496" s="83" t="s">
        <v>1704</v>
      </c>
    </row>
    <row r="2497">
      <c r="A2497" s="83" t="s">
        <v>1705</v>
      </c>
    </row>
    <row r="2498">
      <c r="A2498" s="83" t="s">
        <v>479</v>
      </c>
    </row>
    <row r="2499">
      <c r="A2499" s="83" t="s">
        <v>1360</v>
      </c>
    </row>
    <row r="2500">
      <c r="A2500" s="83" t="s">
        <v>1706</v>
      </c>
    </row>
    <row r="2502">
      <c r="A2502" s="83" t="s">
        <v>1707</v>
      </c>
    </row>
    <row r="2503">
      <c r="A2503" s="83" t="s">
        <v>1708</v>
      </c>
    </row>
    <row r="2504">
      <c r="A2504" s="83" t="s">
        <v>1709</v>
      </c>
    </row>
    <row r="2505">
      <c r="A2505" s="83" t="s">
        <v>1710</v>
      </c>
    </row>
    <row r="2506">
      <c r="A2506" s="83" t="s">
        <v>1711</v>
      </c>
    </row>
    <row r="2507">
      <c r="A2507" s="83" t="s">
        <v>1712</v>
      </c>
    </row>
    <row r="2508">
      <c r="A2508" s="83" t="s">
        <v>1713</v>
      </c>
    </row>
    <row r="2510">
      <c r="A2510" s="83" t="s">
        <v>1714</v>
      </c>
    </row>
    <row r="2511">
      <c r="A2511" s="83" t="s">
        <v>1715</v>
      </c>
    </row>
    <row r="2512">
      <c r="A2512" s="83" t="s">
        <v>1525</v>
      </c>
    </row>
    <row r="2513">
      <c r="A2513" s="83" t="s">
        <v>1716</v>
      </c>
    </row>
    <row r="2514">
      <c r="A2514" s="83" t="s">
        <v>223</v>
      </c>
    </row>
    <row r="2515">
      <c r="A2515" s="83" t="s">
        <v>1717</v>
      </c>
    </row>
    <row r="2516">
      <c r="A2516" s="83" t="s">
        <v>1718</v>
      </c>
    </row>
    <row r="2517">
      <c r="A2517" s="83" t="s">
        <v>223</v>
      </c>
    </row>
    <row r="2519">
      <c r="A2519" s="83" t="s">
        <v>1719</v>
      </c>
    </row>
    <row r="2520">
      <c r="A2520" s="83" t="s">
        <v>1720</v>
      </c>
    </row>
    <row r="2521">
      <c r="A2521" s="83" t="s">
        <v>1721</v>
      </c>
    </row>
    <row r="2522">
      <c r="A2522" s="83" t="s">
        <v>1722</v>
      </c>
    </row>
    <row r="2523">
      <c r="A2523" s="83" t="s">
        <v>1723</v>
      </c>
    </row>
    <row r="2524">
      <c r="A2524" s="83" t="s">
        <v>1724</v>
      </c>
    </row>
    <row r="2526">
      <c r="A2526" s="83" t="s">
        <v>1725</v>
      </c>
    </row>
    <row r="2527">
      <c r="A2527" s="83" t="s">
        <v>824</v>
      </c>
    </row>
    <row r="2528">
      <c r="A2528" s="83" t="s">
        <v>1726</v>
      </c>
    </row>
    <row r="2529">
      <c r="A2529" s="83" t="s">
        <v>1727</v>
      </c>
    </row>
    <row r="2530">
      <c r="A2530" s="83" t="s">
        <v>1728</v>
      </c>
    </row>
    <row r="2531">
      <c r="A2531" s="83" t="s">
        <v>1463</v>
      </c>
    </row>
    <row r="2532">
      <c r="A2532" s="83" t="s">
        <v>1464</v>
      </c>
    </row>
    <row r="2533">
      <c r="A2533" s="83" t="s">
        <v>662</v>
      </c>
    </row>
    <row r="2535">
      <c r="A2535" s="83" t="s">
        <v>1729</v>
      </c>
    </row>
    <row r="2536">
      <c r="A2536" s="83" t="s">
        <v>1730</v>
      </c>
    </row>
    <row r="2537">
      <c r="A2537" s="83" t="s">
        <v>1731</v>
      </c>
    </row>
    <row r="2538">
      <c r="A2538" s="83" t="s">
        <v>1732</v>
      </c>
    </row>
    <row r="2539">
      <c r="A2539" s="83" t="s">
        <v>1733</v>
      </c>
    </row>
    <row r="2540">
      <c r="A2540" s="83" t="s">
        <v>1734</v>
      </c>
    </row>
    <row r="2541">
      <c r="A2541" s="83" t="s">
        <v>1735</v>
      </c>
    </row>
    <row r="2542">
      <c r="A2542" s="83" t="s">
        <v>1721</v>
      </c>
    </row>
    <row r="2543">
      <c r="A2543" s="83" t="s">
        <v>1722</v>
      </c>
    </row>
    <row r="2544">
      <c r="A2544" s="83" t="s">
        <v>1723</v>
      </c>
    </row>
    <row r="2545">
      <c r="A2545" s="83" t="s">
        <v>1724</v>
      </c>
    </row>
    <row r="2546">
      <c r="A2546" s="83" t="s">
        <v>223</v>
      </c>
    </row>
    <row r="2547">
      <c r="A2547" s="83" t="s">
        <v>223</v>
      </c>
    </row>
    <row r="2548">
      <c r="A2548" s="83" t="s">
        <v>223</v>
      </c>
    </row>
    <row r="2549">
      <c r="A2549" s="83" t="s">
        <v>223</v>
      </c>
    </row>
    <row r="2551">
      <c r="A2551" s="83" t="s">
        <v>1736</v>
      </c>
    </row>
    <row r="2552">
      <c r="A2552" s="83" t="s">
        <v>1737</v>
      </c>
    </row>
    <row r="2553">
      <c r="A2553" s="83" t="s">
        <v>1738</v>
      </c>
    </row>
    <row r="2555">
      <c r="A2555" s="83" t="s">
        <v>528</v>
      </c>
    </row>
    <row r="2556">
      <c r="A2556" s="83" t="s">
        <v>1739</v>
      </c>
    </row>
    <row r="2557">
      <c r="A2557" s="83" t="s">
        <v>550</v>
      </c>
    </row>
    <row r="2558">
      <c r="A2558" s="83" t="s">
        <v>223</v>
      </c>
    </row>
    <row r="2559">
      <c r="A2559" s="83" t="s">
        <v>223</v>
      </c>
    </row>
    <row r="2561">
      <c r="A2561" s="83" t="s">
        <v>1740</v>
      </c>
    </row>
    <row r="2562">
      <c r="A2562" s="83" t="s">
        <v>1741</v>
      </c>
    </row>
    <row r="2563">
      <c r="A2563" s="83" t="s">
        <v>1578</v>
      </c>
    </row>
    <row r="2565">
      <c r="A2565" s="83" t="s">
        <v>1579</v>
      </c>
    </row>
    <row r="2566">
      <c r="A2566" s="83" t="s">
        <v>1580</v>
      </c>
    </row>
    <row r="2567">
      <c r="A2567" s="83" t="s">
        <v>1742</v>
      </c>
    </row>
    <row r="2568">
      <c r="A2568" s="83" t="s">
        <v>1743</v>
      </c>
    </row>
    <row r="2569">
      <c r="A2569" s="83" t="s">
        <v>1744</v>
      </c>
    </row>
    <row r="2570">
      <c r="A2570" s="83" t="s">
        <v>1745</v>
      </c>
    </row>
    <row r="2571">
      <c r="A2571" s="83" t="s">
        <v>1746</v>
      </c>
    </row>
    <row r="2572">
      <c r="A2572" s="83" t="s">
        <v>1747</v>
      </c>
    </row>
    <row r="2573">
      <c r="A2573" s="83" t="s">
        <v>1748</v>
      </c>
    </row>
    <row r="2574">
      <c r="A2574" s="83" t="s">
        <v>1749</v>
      </c>
    </row>
    <row r="2575">
      <c r="A2575" s="83" t="s">
        <v>1750</v>
      </c>
    </row>
    <row r="2576">
      <c r="A2576" s="83" t="s">
        <v>1751</v>
      </c>
    </row>
    <row r="2577">
      <c r="A2577" s="83" t="s">
        <v>1752</v>
      </c>
    </row>
    <row r="2578">
      <c r="A2578" s="83" t="s">
        <v>1753</v>
      </c>
    </row>
    <row r="2579">
      <c r="A2579" s="83" t="s">
        <v>1754</v>
      </c>
    </row>
    <row r="2580">
      <c r="A2580" s="83" t="s">
        <v>1755</v>
      </c>
    </row>
    <row r="2581">
      <c r="A2581" s="83" t="s">
        <v>1756</v>
      </c>
    </row>
    <row r="2582">
      <c r="A2582" s="83" t="s">
        <v>1757</v>
      </c>
    </row>
    <row r="2584">
      <c r="A2584" s="83" t="s">
        <v>1604</v>
      </c>
    </row>
    <row r="2585">
      <c r="A2585" s="83" t="s">
        <v>1758</v>
      </c>
    </row>
    <row r="2586">
      <c r="A2586" s="83" t="s">
        <v>1613</v>
      </c>
    </row>
    <row r="2587">
      <c r="A2587" s="83" t="s">
        <v>1759</v>
      </c>
    </row>
    <row r="2588">
      <c r="A2588" s="83" t="s">
        <v>1760</v>
      </c>
    </row>
    <row r="2589">
      <c r="A2589" s="83" t="s">
        <v>1761</v>
      </c>
    </row>
    <row r="2590">
      <c r="A2590" s="83" t="s">
        <v>223</v>
      </c>
    </row>
    <row r="2591">
      <c r="A2591" s="83" t="s">
        <v>1661</v>
      </c>
    </row>
    <row r="2592">
      <c r="A2592" s="83" t="s">
        <v>1662</v>
      </c>
    </row>
    <row r="2593">
      <c r="A2593" s="83" t="s">
        <v>1762</v>
      </c>
    </row>
    <row r="2594">
      <c r="A2594" s="83" t="s">
        <v>1664</v>
      </c>
    </row>
    <row r="2595">
      <c r="A2595" s="83" t="s">
        <v>223</v>
      </c>
    </row>
    <row r="2596">
      <c r="A2596" s="83" t="s">
        <v>1665</v>
      </c>
    </row>
    <row r="2597">
      <c r="A2597" s="83" t="s">
        <v>1666</v>
      </c>
    </row>
    <row r="2599">
      <c r="A2599" s="83" t="s">
        <v>1763</v>
      </c>
    </row>
    <row r="2600">
      <c r="A2600" s="83" t="s">
        <v>1667</v>
      </c>
    </row>
    <row r="2601">
      <c r="A2601" s="83" t="s">
        <v>1764</v>
      </c>
    </row>
    <row r="2602">
      <c r="A2602" s="83" t="s">
        <v>1765</v>
      </c>
    </row>
    <row r="2603">
      <c r="A2603" s="83" t="s">
        <v>1766</v>
      </c>
    </row>
    <row r="2604">
      <c r="A2604" s="83" t="s">
        <v>1671</v>
      </c>
    </row>
    <row r="2606">
      <c r="A2606" s="83" t="s">
        <v>1767</v>
      </c>
    </row>
    <row r="2608">
      <c r="A2608" s="83" t="s">
        <v>1768</v>
      </c>
    </row>
    <row r="2609">
      <c r="A2609" s="83" t="s">
        <v>1769</v>
      </c>
    </row>
    <row r="2611">
      <c r="A2611" s="83" t="s">
        <v>1234</v>
      </c>
    </row>
    <row r="2612">
      <c r="A2612" s="83" t="s">
        <v>1770</v>
      </c>
    </row>
    <row r="2613">
      <c r="A2613" s="83" t="s">
        <v>824</v>
      </c>
    </row>
    <row r="2614">
      <c r="A2614" s="83" t="s">
        <v>1771</v>
      </c>
    </row>
    <row r="2615">
      <c r="A2615" s="83" t="s">
        <v>780</v>
      </c>
    </row>
    <row r="2616">
      <c r="A2616" s="83" t="s">
        <v>755</v>
      </c>
    </row>
    <row r="2617">
      <c r="A2617" s="83" t="s">
        <v>1772</v>
      </c>
    </row>
    <row r="2618">
      <c r="A2618" s="83" t="s">
        <v>1773</v>
      </c>
    </row>
    <row r="2619">
      <c r="A2619" s="83" t="s">
        <v>1774</v>
      </c>
    </row>
    <row r="2620">
      <c r="A2620" s="83" t="s">
        <v>1775</v>
      </c>
    </row>
    <row r="2621">
      <c r="A2621" s="83" t="s">
        <v>758</v>
      </c>
    </row>
    <row r="2622">
      <c r="A2622" s="83" t="s">
        <v>784</v>
      </c>
    </row>
    <row r="2623">
      <c r="A2623" s="83" t="s">
        <v>1776</v>
      </c>
    </row>
    <row r="2625">
      <c r="A2625" s="83" t="s">
        <v>1243</v>
      </c>
    </row>
    <row r="2626">
      <c r="A2626" s="83" t="s">
        <v>1239</v>
      </c>
    </row>
    <row r="2627">
      <c r="A2627" s="83" t="s">
        <v>1777</v>
      </c>
    </row>
    <row r="2628">
      <c r="A2628" s="83" t="s">
        <v>1778</v>
      </c>
    </row>
    <row r="2629">
      <c r="A2629" s="83" t="s">
        <v>1779</v>
      </c>
    </row>
    <row r="2630">
      <c r="A2630" s="83" t="s">
        <v>1780</v>
      </c>
    </row>
    <row r="2631">
      <c r="A2631" s="83" t="s">
        <v>1242</v>
      </c>
    </row>
    <row r="2632">
      <c r="A2632" s="83" t="s">
        <v>223</v>
      </c>
    </row>
    <row r="2634">
      <c r="A2634" s="83" t="s">
        <v>1781</v>
      </c>
    </row>
    <row r="2636">
      <c r="A2636" s="83" t="s">
        <v>1782</v>
      </c>
    </row>
    <row r="2637">
      <c r="A2637" s="83" t="s">
        <v>1783</v>
      </c>
    </row>
    <row r="2638">
      <c r="A2638" s="83" t="s">
        <v>1671</v>
      </c>
    </row>
    <row r="2639">
      <c r="A2639" s="83" t="s">
        <v>223</v>
      </c>
    </row>
    <row r="2641">
      <c r="A2641" s="83" t="s">
        <v>1164</v>
      </c>
    </row>
    <row r="2643">
      <c r="A2643" s="83" t="s">
        <v>1784</v>
      </c>
    </row>
    <row r="2644">
      <c r="A2644" s="83" t="s">
        <v>1785</v>
      </c>
    </row>
    <row r="2645">
      <c r="A2645" s="83" t="s">
        <v>223</v>
      </c>
    </row>
    <row r="2647">
      <c r="A2647" s="83" t="s">
        <v>1786</v>
      </c>
    </row>
    <row r="2648">
      <c r="A2648" s="83" t="s">
        <v>1787</v>
      </c>
    </row>
    <row r="2649">
      <c r="A2649" s="83" t="s">
        <v>1788</v>
      </c>
    </row>
    <row r="2650">
      <c r="A2650" s="83" t="s">
        <v>479</v>
      </c>
    </row>
    <row r="2651">
      <c r="A2651" s="83" t="s">
        <v>1789</v>
      </c>
    </row>
    <row r="2652">
      <c r="A2652" s="83" t="s">
        <v>1790</v>
      </c>
    </row>
    <row r="2653">
      <c r="A2653" s="83" t="s">
        <v>1791</v>
      </c>
    </row>
    <row r="2654">
      <c r="A2654" s="83" t="s">
        <v>1792</v>
      </c>
    </row>
    <row r="2655">
      <c r="A2655" s="83" t="s">
        <v>220</v>
      </c>
    </row>
    <row r="2656">
      <c r="A2656" s="83" t="s">
        <v>1793</v>
      </c>
    </row>
    <row r="2657">
      <c r="A2657" s="83" t="s">
        <v>528</v>
      </c>
    </row>
    <row r="2658">
      <c r="A2658" s="83" t="s">
        <v>1794</v>
      </c>
    </row>
    <row r="2659">
      <c r="A2659" s="83" t="s">
        <v>223</v>
      </c>
    </row>
    <row r="2660">
      <c r="A2660" s="83" t="s">
        <v>223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6" width="8.71"/>
  </cols>
  <sheetData>
    <row r="1">
      <c r="A1" s="81" t="s">
        <v>155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51" t="s">
        <v>156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84" t="s">
        <v>381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84" t="s">
        <v>382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84" t="s">
        <v>383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84" t="s">
        <v>384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84" t="s">
        <v>385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84" t="s">
        <v>386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84" t="s">
        <v>387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84" t="s">
        <v>388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84" t="s">
        <v>389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84" t="s">
        <v>390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84" t="s">
        <v>391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84" t="s">
        <v>392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84" t="s">
        <v>393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84" t="s">
        <v>394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84" t="s">
        <v>395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84" t="s">
        <v>396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84" t="s">
        <v>397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84" t="s">
        <v>398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8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84" t="s">
        <v>170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84" t="s">
        <v>399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84" t="s">
        <v>400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82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84" t="s">
        <v>401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84" t="s">
        <v>402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84" t="s">
        <v>403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84" t="s">
        <v>404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84" t="s">
        <v>405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84" t="s">
        <v>406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84" t="s">
        <v>407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8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84" t="s">
        <v>408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82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84" t="s">
        <v>409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84" t="s">
        <v>410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84" t="s">
        <v>411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84" t="s">
        <v>412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84" t="s">
        <v>413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84" t="s">
        <v>414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84" t="s">
        <v>415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84" t="s">
        <v>416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84" t="s">
        <v>417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84" t="s">
        <v>418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84" t="s">
        <v>419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84" t="s">
        <v>420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84" t="s">
        <v>407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8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84" t="s">
        <v>423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84" t="s">
        <v>424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8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84" t="s">
        <v>425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8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84" t="s">
        <v>426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84" t="s">
        <v>220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8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84" t="s">
        <v>427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84" t="s">
        <v>428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84" t="s">
        <v>429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84" t="s">
        <v>430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82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84" t="s">
        <v>431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84" t="s">
        <v>432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8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84" t="s">
        <v>433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84" t="s">
        <v>434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84" t="s">
        <v>435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84" t="s">
        <v>436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84" t="s">
        <v>437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8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84" t="s">
        <v>438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84" t="s">
        <v>439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84" t="s">
        <v>440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84" t="s">
        <v>441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84" t="s">
        <v>442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84" t="s">
        <v>443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84" t="s">
        <v>444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84" t="s">
        <v>445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8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84" t="s">
        <v>446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84" t="s">
        <v>447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8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84" t="s">
        <v>448</v>
      </c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84" t="s">
        <v>449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84" t="s">
        <v>450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84" t="s">
        <v>1795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8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84" t="s">
        <v>432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84" t="s">
        <v>453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84" t="s">
        <v>454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8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84" t="s">
        <v>455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84" t="s">
        <v>223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82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84" t="s">
        <v>456</v>
      </c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84" t="s">
        <v>457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84" t="s">
        <v>458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84" t="s">
        <v>459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8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84" t="s">
        <v>460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84" t="s">
        <v>461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84" t="s">
        <v>462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8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84" t="s">
        <v>463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84" t="s">
        <v>464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84" t="s">
        <v>465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8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84" t="s">
        <v>466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84" t="s">
        <v>223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82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84" t="s">
        <v>467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84" t="s">
        <v>468</v>
      </c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84" t="s">
        <v>469</v>
      </c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84" t="s">
        <v>470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82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84" t="s">
        <v>471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84" t="s">
        <v>472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84" t="s">
        <v>473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84" t="s">
        <v>474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84" t="s">
        <v>223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82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84" t="s">
        <v>475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84" t="s">
        <v>476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82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84" t="s">
        <v>477</v>
      </c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84" t="s">
        <v>478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84" t="s">
        <v>479</v>
      </c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84" t="s">
        <v>480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84" t="s">
        <v>481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82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84" t="s">
        <v>482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84" t="s">
        <v>483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82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84" t="s">
        <v>484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84" t="s">
        <v>485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82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84" t="s">
        <v>486</v>
      </c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84" t="s">
        <v>487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84" t="s">
        <v>488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82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84" t="s">
        <v>489</v>
      </c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84" t="s">
        <v>490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82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84" t="s">
        <v>491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84" t="s">
        <v>492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84" t="s">
        <v>493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84" t="s">
        <v>494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84" t="s">
        <v>223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8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84" t="s">
        <v>495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84" t="s">
        <v>496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84" t="s">
        <v>497</v>
      </c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84" t="s">
        <v>223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82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84" t="s">
        <v>498</v>
      </c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84" t="s">
        <v>499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84" t="s">
        <v>500</v>
      </c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84" t="s">
        <v>223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8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84" t="s">
        <v>501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84" t="s">
        <v>502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84" t="s">
        <v>503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84" t="s">
        <v>504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84" t="s">
        <v>223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84" t="s">
        <v>505</v>
      </c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84" t="s">
        <v>497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84" t="s">
        <v>514</v>
      </c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84" t="s">
        <v>494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84" t="s">
        <v>223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82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84" t="s">
        <v>515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84" t="s">
        <v>516</v>
      </c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84" t="s">
        <v>517</v>
      </c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84" t="s">
        <v>518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84" t="s">
        <v>223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84" t="s">
        <v>519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82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84" t="s">
        <v>520</v>
      </c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84" t="s">
        <v>521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84" t="s">
        <v>522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84" t="s">
        <v>223</v>
      </c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82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84" t="s">
        <v>497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84" t="s">
        <v>523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82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84" t="s">
        <v>524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84" t="s">
        <v>525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82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84" t="s">
        <v>526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84" t="s">
        <v>479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84" t="s">
        <v>527</v>
      </c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84" t="s">
        <v>528</v>
      </c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84" t="s">
        <v>529</v>
      </c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84" t="s">
        <v>530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84" t="s">
        <v>223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82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84" t="s">
        <v>531</v>
      </c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84" t="s">
        <v>494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84" t="s">
        <v>223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82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84" t="s">
        <v>532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84" t="s">
        <v>533</v>
      </c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84" t="s">
        <v>534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84" t="s">
        <v>535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84" t="s">
        <v>536</v>
      </c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84" t="s">
        <v>537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84" t="s">
        <v>538</v>
      </c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84" t="s">
        <v>539</v>
      </c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84" t="s">
        <v>540</v>
      </c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84" t="s">
        <v>494</v>
      </c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84" t="s">
        <v>223</v>
      </c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84" t="s">
        <v>223</v>
      </c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82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84" t="s">
        <v>541</v>
      </c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84" t="s">
        <v>542</v>
      </c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84" t="s">
        <v>543</v>
      </c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84" t="s">
        <v>537</v>
      </c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84" t="s">
        <v>544</v>
      </c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84" t="s">
        <v>539</v>
      </c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84" t="s">
        <v>545</v>
      </c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84" t="s">
        <v>494</v>
      </c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84" t="s">
        <v>223</v>
      </c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82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84" t="s">
        <v>546</v>
      </c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84" t="s">
        <v>547</v>
      </c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84" t="s">
        <v>548</v>
      </c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84" t="s">
        <v>494</v>
      </c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84" t="s">
        <v>223</v>
      </c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8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84" t="s">
        <v>528</v>
      </c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84" t="s">
        <v>549</v>
      </c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84" t="s">
        <v>550</v>
      </c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84" t="s">
        <v>223</v>
      </c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84" t="s">
        <v>223</v>
      </c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82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84" t="s">
        <v>551</v>
      </c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84" t="s">
        <v>552</v>
      </c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84" t="s">
        <v>553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84" t="s">
        <v>554</v>
      </c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84" t="s">
        <v>555</v>
      </c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84" t="s">
        <v>556</v>
      </c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84" t="s">
        <v>557</v>
      </c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84" t="s">
        <v>558</v>
      </c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84" t="s">
        <v>559</v>
      </c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84" t="s">
        <v>560</v>
      </c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84" t="s">
        <v>561</v>
      </c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84" t="s">
        <v>562</v>
      </c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84" t="s">
        <v>563</v>
      </c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84" t="s">
        <v>564</v>
      </c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84" t="s">
        <v>565</v>
      </c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84" t="s">
        <v>566</v>
      </c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84" t="s">
        <v>567</v>
      </c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84" t="s">
        <v>568</v>
      </c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84" t="s">
        <v>569</v>
      </c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84" t="s">
        <v>570</v>
      </c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84" t="s">
        <v>571</v>
      </c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84" t="s">
        <v>572</v>
      </c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84" t="s">
        <v>573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84" t="s">
        <v>574</v>
      </c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84" t="s">
        <v>575</v>
      </c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84" t="s">
        <v>576</v>
      </c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84" t="s">
        <v>577</v>
      </c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84" t="s">
        <v>578</v>
      </c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84" t="s">
        <v>579</v>
      </c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84" t="s">
        <v>580</v>
      </c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84" t="s">
        <v>220</v>
      </c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82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84" t="s">
        <v>581</v>
      </c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8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84" t="s">
        <v>582</v>
      </c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84" t="s">
        <v>583</v>
      </c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84" t="s">
        <v>1796</v>
      </c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84" t="s">
        <v>597</v>
      </c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84" t="s">
        <v>598</v>
      </c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84" t="s">
        <v>223</v>
      </c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84" t="s">
        <v>599</v>
      </c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84" t="s">
        <v>223</v>
      </c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82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84" t="s">
        <v>600</v>
      </c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84" t="s">
        <v>601</v>
      </c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84" t="s">
        <v>602</v>
      </c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84" t="s">
        <v>603</v>
      </c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84" t="s">
        <v>604</v>
      </c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84" t="s">
        <v>605</v>
      </c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82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84" t="s">
        <v>606</v>
      </c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84" t="s">
        <v>607</v>
      </c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82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84" t="s">
        <v>608</v>
      </c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84" t="s">
        <v>609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84" t="s">
        <v>610</v>
      </c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84" t="s">
        <v>611</v>
      </c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84" t="s">
        <v>223</v>
      </c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82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84" t="s">
        <v>612</v>
      </c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84" t="s">
        <v>613</v>
      </c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84" t="s">
        <v>614</v>
      </c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84" t="s">
        <v>615</v>
      </c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8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84" t="s">
        <v>616</v>
      </c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84" t="s">
        <v>617</v>
      </c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84" t="s">
        <v>618</v>
      </c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82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84" t="s">
        <v>619</v>
      </c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84" t="s">
        <v>620</v>
      </c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84" t="s">
        <v>621</v>
      </c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84" t="s">
        <v>622</v>
      </c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84" t="s">
        <v>623</v>
      </c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8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84" t="s">
        <v>624</v>
      </c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84" t="s">
        <v>625</v>
      </c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84" t="s">
        <v>626</v>
      </c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84" t="s">
        <v>627</v>
      </c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84" t="s">
        <v>628</v>
      </c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84" t="s">
        <v>223</v>
      </c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84" t="s">
        <v>223</v>
      </c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82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84" t="s">
        <v>629</v>
      </c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84" t="s">
        <v>630</v>
      </c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84" t="s">
        <v>631</v>
      </c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84" t="s">
        <v>632</v>
      </c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84" t="s">
        <v>633</v>
      </c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84" t="s">
        <v>634</v>
      </c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84" t="s">
        <v>223</v>
      </c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82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40" t="s">
        <v>635</v>
      </c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40" t="s">
        <v>636</v>
      </c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40" t="s">
        <v>637</v>
      </c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40" t="s">
        <v>638</v>
      </c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40" t="s">
        <v>639</v>
      </c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40" t="s">
        <v>223</v>
      </c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40" t="s">
        <v>223</v>
      </c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40" t="s">
        <v>640</v>
      </c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40" t="s">
        <v>641</v>
      </c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40" t="s">
        <v>642</v>
      </c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40" t="s">
        <v>643</v>
      </c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40" t="s">
        <v>644</v>
      </c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40" t="s">
        <v>645</v>
      </c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40" t="s">
        <v>646</v>
      </c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40" t="s">
        <v>647</v>
      </c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40" t="s">
        <v>648</v>
      </c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40" t="s">
        <v>649</v>
      </c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40" t="s">
        <v>650</v>
      </c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40" t="s">
        <v>651</v>
      </c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40" t="s">
        <v>652</v>
      </c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40" t="s">
        <v>653</v>
      </c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40" t="s">
        <v>654</v>
      </c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40" t="s">
        <v>655</v>
      </c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40" t="s">
        <v>656</v>
      </c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40" t="s">
        <v>657</v>
      </c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40" t="s">
        <v>658</v>
      </c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40" t="s">
        <v>659</v>
      </c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40" t="s">
        <v>660</v>
      </c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40" t="s">
        <v>661</v>
      </c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40" t="s">
        <v>662</v>
      </c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40" t="s">
        <v>223</v>
      </c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40" t="s">
        <v>663</v>
      </c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40" t="s">
        <v>664</v>
      </c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40" t="s">
        <v>665</v>
      </c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40" t="s">
        <v>479</v>
      </c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40" t="s">
        <v>651</v>
      </c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40" t="s">
        <v>666</v>
      </c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40" t="s">
        <v>667</v>
      </c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40" t="s">
        <v>654</v>
      </c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40" t="s">
        <v>668</v>
      </c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40" t="s">
        <v>655</v>
      </c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40" t="s">
        <v>656</v>
      </c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40" t="s">
        <v>669</v>
      </c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40" t="s">
        <v>658</v>
      </c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40" t="s">
        <v>659</v>
      </c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40" t="s">
        <v>660</v>
      </c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40" t="s">
        <v>661</v>
      </c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40" t="s">
        <v>670</v>
      </c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40" t="s">
        <v>528</v>
      </c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40" t="s">
        <v>671</v>
      </c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40" t="s">
        <v>223</v>
      </c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40" t="s">
        <v>223</v>
      </c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40" t="s">
        <v>672</v>
      </c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40" t="s">
        <v>673</v>
      </c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40" t="s">
        <v>674</v>
      </c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40" t="s">
        <v>675</v>
      </c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40" t="s">
        <v>223</v>
      </c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40" t="s">
        <v>676</v>
      </c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40" t="s">
        <v>677</v>
      </c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40" t="s">
        <v>678</v>
      </c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40" t="s">
        <v>508</v>
      </c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40" t="s">
        <v>679</v>
      </c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40" t="s">
        <v>680</v>
      </c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40" t="s">
        <v>681</v>
      </c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40" t="s">
        <v>682</v>
      </c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40" t="s">
        <v>683</v>
      </c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40" t="s">
        <v>684</v>
      </c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40" t="s">
        <v>685</v>
      </c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40" t="s">
        <v>686</v>
      </c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40" t="s">
        <v>687</v>
      </c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40" t="s">
        <v>223</v>
      </c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40" t="s">
        <v>688</v>
      </c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40" t="s">
        <v>689</v>
      </c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40" t="s">
        <v>690</v>
      </c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40" t="s">
        <v>678</v>
      </c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40" t="s">
        <v>508</v>
      </c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40" t="s">
        <v>679</v>
      </c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40" t="s">
        <v>680</v>
      </c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40" t="s">
        <v>682</v>
      </c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40" t="s">
        <v>691</v>
      </c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40" t="s">
        <v>692</v>
      </c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40" t="s">
        <v>693</v>
      </c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40" t="s">
        <v>694</v>
      </c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40" t="s">
        <v>695</v>
      </c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40" t="s">
        <v>696</v>
      </c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40" t="s">
        <v>697</v>
      </c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40" t="s">
        <v>698</v>
      </c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40" t="s">
        <v>699</v>
      </c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40" t="s">
        <v>686</v>
      </c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40" t="s">
        <v>700</v>
      </c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40" t="s">
        <v>701</v>
      </c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40" t="s">
        <v>702</v>
      </c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40" t="s">
        <v>703</v>
      </c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40" t="s">
        <v>704</v>
      </c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40" t="s">
        <v>705</v>
      </c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40" t="s">
        <v>706</v>
      </c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40" t="s">
        <v>707</v>
      </c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40" t="s">
        <v>662</v>
      </c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40" t="s">
        <v>223</v>
      </c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40" t="s">
        <v>708</v>
      </c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40" t="s">
        <v>709</v>
      </c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40" t="s">
        <v>710</v>
      </c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40" t="s">
        <v>711</v>
      </c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40" t="s">
        <v>712</v>
      </c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40" t="s">
        <v>494</v>
      </c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40" t="s">
        <v>223</v>
      </c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40" t="s">
        <v>713</v>
      </c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40" t="s">
        <v>714</v>
      </c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40" t="s">
        <v>715</v>
      </c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40" t="s">
        <v>494</v>
      </c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40" t="s">
        <v>223</v>
      </c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40" t="s">
        <v>490</v>
      </c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40" t="s">
        <v>497</v>
      </c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40" t="s">
        <v>716</v>
      </c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40" t="s">
        <v>717</v>
      </c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40" t="s">
        <v>223</v>
      </c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40" t="s">
        <v>718</v>
      </c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40" t="s">
        <v>719</v>
      </c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40" t="s">
        <v>508</v>
      </c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40" t="s">
        <v>720</v>
      </c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40" t="s">
        <v>679</v>
      </c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40" t="s">
        <v>721</v>
      </c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40" t="s">
        <v>722</v>
      </c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40" t="s">
        <v>723</v>
      </c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40" t="s">
        <v>724</v>
      </c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40" t="s">
        <v>223</v>
      </c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40" t="s">
        <v>725</v>
      </c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40" t="s">
        <v>726</v>
      </c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40" t="s">
        <v>727</v>
      </c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40" t="s">
        <v>728</v>
      </c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40" t="s">
        <v>223</v>
      </c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40" t="s">
        <v>729</v>
      </c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40" t="s">
        <v>730</v>
      </c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40" t="s">
        <v>731</v>
      </c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40" t="s">
        <v>680</v>
      </c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40" t="s">
        <v>681</v>
      </c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40" t="s">
        <v>682</v>
      </c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40" t="s">
        <v>683</v>
      </c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40" t="s">
        <v>732</v>
      </c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40" t="s">
        <v>733</v>
      </c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40" t="s">
        <v>734</v>
      </c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40" t="s">
        <v>735</v>
      </c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40" t="s">
        <v>736</v>
      </c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40" t="s">
        <v>737</v>
      </c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40" t="s">
        <v>738</v>
      </c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40" t="s">
        <v>739</v>
      </c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40" t="s">
        <v>740</v>
      </c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40" t="s">
        <v>741</v>
      </c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40" t="s">
        <v>742</v>
      </c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40" t="s">
        <v>743</v>
      </c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40" t="s">
        <v>744</v>
      </c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40" t="s">
        <v>745</v>
      </c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40" t="s">
        <v>746</v>
      </c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40" t="s">
        <v>747</v>
      </c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40" t="s">
        <v>748</v>
      </c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40" t="s">
        <v>749</v>
      </c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40" t="s">
        <v>750</v>
      </c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40" t="s">
        <v>751</v>
      </c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40" t="s">
        <v>749</v>
      </c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40" t="s">
        <v>749</v>
      </c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83" t="s">
        <v>752</v>
      </c>
    </row>
    <row r="530" ht="15.75" customHeight="1">
      <c r="A530" s="83" t="s">
        <v>753</v>
      </c>
    </row>
    <row r="531" ht="15.75" customHeight="1">
      <c r="A531" s="83" t="s">
        <v>754</v>
      </c>
    </row>
    <row r="532" ht="15.75" customHeight="1">
      <c r="A532" s="83" t="s">
        <v>755</v>
      </c>
    </row>
    <row r="533" ht="15.75" customHeight="1">
      <c r="A533" s="83" t="s">
        <v>756</v>
      </c>
    </row>
    <row r="534" ht="15.75" customHeight="1">
      <c r="A534" s="83" t="s">
        <v>757</v>
      </c>
    </row>
    <row r="535" ht="15.75" customHeight="1">
      <c r="A535" s="83" t="s">
        <v>758</v>
      </c>
    </row>
    <row r="536" ht="15.75" customHeight="1">
      <c r="A536" s="83" t="s">
        <v>755</v>
      </c>
    </row>
    <row r="537" ht="15.75" customHeight="1">
      <c r="A537" s="83" t="s">
        <v>759</v>
      </c>
    </row>
    <row r="538" ht="15.75" customHeight="1">
      <c r="A538" s="83" t="s">
        <v>760</v>
      </c>
    </row>
    <row r="539" ht="15.75" customHeight="1">
      <c r="A539" s="83" t="s">
        <v>758</v>
      </c>
    </row>
    <row r="540" ht="15.75" customHeight="1">
      <c r="A540" s="83" t="s">
        <v>755</v>
      </c>
    </row>
    <row r="541" ht="15.75" customHeight="1">
      <c r="A541" s="83" t="s">
        <v>761</v>
      </c>
    </row>
    <row r="542" ht="15.75" customHeight="1">
      <c r="A542" s="83" t="s">
        <v>762</v>
      </c>
    </row>
    <row r="543" ht="15.75" customHeight="1">
      <c r="A543" s="83" t="s">
        <v>758</v>
      </c>
    </row>
    <row r="544" ht="15.75" customHeight="1">
      <c r="A544" s="83" t="s">
        <v>755</v>
      </c>
    </row>
    <row r="545" ht="15.75" customHeight="1">
      <c r="A545" s="83" t="s">
        <v>763</v>
      </c>
    </row>
    <row r="546" ht="15.75" customHeight="1">
      <c r="A546" s="83" t="s">
        <v>764</v>
      </c>
    </row>
    <row r="547" ht="15.75" customHeight="1">
      <c r="A547" s="83" t="s">
        <v>758</v>
      </c>
    </row>
    <row r="548" ht="15.75" customHeight="1">
      <c r="A548" s="83" t="s">
        <v>765</v>
      </c>
    </row>
    <row r="549" ht="15.75" customHeight="1">
      <c r="A549" s="83" t="s">
        <v>749</v>
      </c>
    </row>
    <row r="550" ht="15.75" customHeight="1"/>
    <row r="551" ht="15.75" customHeight="1">
      <c r="A551" s="83" t="s">
        <v>766</v>
      </c>
    </row>
    <row r="552" ht="15.75" customHeight="1">
      <c r="A552" s="83" t="s">
        <v>767</v>
      </c>
    </row>
    <row r="553" ht="15.75" customHeight="1">
      <c r="A553" s="83" t="s">
        <v>768</v>
      </c>
    </row>
    <row r="554" ht="15.75" customHeight="1">
      <c r="A554" s="83" t="s">
        <v>755</v>
      </c>
    </row>
    <row r="555" ht="15.75" customHeight="1">
      <c r="A555" s="83" t="s">
        <v>769</v>
      </c>
    </row>
    <row r="556" ht="15.75" customHeight="1">
      <c r="A556" s="83" t="s">
        <v>770</v>
      </c>
    </row>
    <row r="557" ht="15.75" customHeight="1">
      <c r="A557" s="83" t="s">
        <v>758</v>
      </c>
    </row>
    <row r="558" ht="15.75" customHeight="1">
      <c r="A558" s="83" t="s">
        <v>755</v>
      </c>
    </row>
    <row r="559" ht="15.75" customHeight="1">
      <c r="A559" s="83" t="s">
        <v>771</v>
      </c>
    </row>
    <row r="560" ht="15.75" customHeight="1">
      <c r="A560" s="83" t="s">
        <v>772</v>
      </c>
    </row>
    <row r="561" ht="15.75" customHeight="1">
      <c r="A561" s="83" t="s">
        <v>758</v>
      </c>
    </row>
    <row r="562" ht="15.75" customHeight="1">
      <c r="A562" s="83" t="s">
        <v>755</v>
      </c>
    </row>
    <row r="563" ht="15.75" customHeight="1">
      <c r="A563" s="83" t="s">
        <v>773</v>
      </c>
    </row>
    <row r="564" ht="15.75" customHeight="1">
      <c r="A564" s="83" t="s">
        <v>774</v>
      </c>
    </row>
    <row r="565" ht="15.75" customHeight="1">
      <c r="A565" s="83" t="s">
        <v>758</v>
      </c>
    </row>
    <row r="566" ht="15.75" customHeight="1">
      <c r="A566" s="83" t="s">
        <v>755</v>
      </c>
    </row>
    <row r="567" ht="15.75" customHeight="1">
      <c r="A567" s="83" t="s">
        <v>775</v>
      </c>
    </row>
    <row r="568" ht="15.75" customHeight="1">
      <c r="A568" s="83" t="s">
        <v>776</v>
      </c>
    </row>
    <row r="569" ht="15.75" customHeight="1">
      <c r="A569" s="83" t="s">
        <v>758</v>
      </c>
    </row>
    <row r="570" ht="15.75" customHeight="1">
      <c r="A570" s="83" t="s">
        <v>755</v>
      </c>
    </row>
    <row r="571" ht="15.75" customHeight="1">
      <c r="A571" s="83" t="s">
        <v>777</v>
      </c>
    </row>
    <row r="572" ht="15.75" customHeight="1">
      <c r="A572" s="83" t="s">
        <v>778</v>
      </c>
    </row>
    <row r="573" ht="15.75" customHeight="1">
      <c r="A573" s="83" t="s">
        <v>758</v>
      </c>
    </row>
    <row r="574" ht="15.75" customHeight="1">
      <c r="A574" s="83" t="s">
        <v>765</v>
      </c>
    </row>
    <row r="575" ht="15.75" customHeight="1">
      <c r="A575" s="83" t="s">
        <v>749</v>
      </c>
    </row>
    <row r="576" ht="15.75" customHeight="1"/>
    <row r="577" ht="15.75" customHeight="1">
      <c r="A577" s="83" t="s">
        <v>752</v>
      </c>
    </row>
    <row r="578" ht="15.75" customHeight="1">
      <c r="A578" s="83" t="s">
        <v>779</v>
      </c>
    </row>
    <row r="579" ht="15.75" customHeight="1">
      <c r="A579" s="83" t="s">
        <v>780</v>
      </c>
    </row>
    <row r="580" ht="15.75" customHeight="1">
      <c r="A580" s="83" t="s">
        <v>781</v>
      </c>
    </row>
    <row r="581" ht="15.75" customHeight="1">
      <c r="A581" s="83" t="s">
        <v>782</v>
      </c>
    </row>
    <row r="582" ht="15.75" customHeight="1">
      <c r="A582" s="83" t="s">
        <v>783</v>
      </c>
    </row>
    <row r="583" ht="15.75" customHeight="1">
      <c r="A583" s="83" t="s">
        <v>758</v>
      </c>
    </row>
    <row r="584" ht="15.75" customHeight="1">
      <c r="A584" s="83" t="s">
        <v>784</v>
      </c>
    </row>
    <row r="585" ht="15.75" customHeight="1">
      <c r="A585" s="83" t="s">
        <v>785</v>
      </c>
    </row>
    <row r="586" ht="15.75" customHeight="1">
      <c r="A586" s="83" t="s">
        <v>755</v>
      </c>
    </row>
    <row r="587" ht="15.75" customHeight="1">
      <c r="A587" s="83" t="s">
        <v>786</v>
      </c>
    </row>
    <row r="588" ht="15.75" customHeight="1">
      <c r="A588" s="83" t="s">
        <v>787</v>
      </c>
    </row>
    <row r="589" ht="15.75" customHeight="1">
      <c r="A589" s="83" t="s">
        <v>788</v>
      </c>
    </row>
    <row r="590" ht="15.75" customHeight="1">
      <c r="A590" s="83" t="s">
        <v>789</v>
      </c>
    </row>
    <row r="591" ht="15.75" customHeight="1">
      <c r="A591" s="83" t="s">
        <v>749</v>
      </c>
    </row>
    <row r="592" ht="15.75" customHeight="1">
      <c r="A592" s="83" t="s">
        <v>790</v>
      </c>
    </row>
    <row r="593" ht="15.75" customHeight="1">
      <c r="A593" s="83" t="s">
        <v>791</v>
      </c>
    </row>
    <row r="594" ht="15.75" customHeight="1">
      <c r="A594" s="83" t="s">
        <v>792</v>
      </c>
    </row>
    <row r="595" ht="15.75" customHeight="1">
      <c r="A595" s="83" t="s">
        <v>790</v>
      </c>
    </row>
    <row r="596" ht="15.75" customHeight="1">
      <c r="A596" s="83" t="s">
        <v>758</v>
      </c>
    </row>
    <row r="597" ht="15.75" customHeight="1">
      <c r="A597" s="83" t="s">
        <v>755</v>
      </c>
    </row>
    <row r="598" ht="15.75" customHeight="1">
      <c r="A598" s="83" t="s">
        <v>786</v>
      </c>
    </row>
    <row r="599" ht="15.75" customHeight="1">
      <c r="A599" s="83" t="s">
        <v>793</v>
      </c>
    </row>
    <row r="600" ht="15.75" customHeight="1">
      <c r="A600" s="83" t="s">
        <v>788</v>
      </c>
    </row>
    <row r="601" ht="15.75" customHeight="1">
      <c r="A601" s="83" t="s">
        <v>794</v>
      </c>
    </row>
    <row r="602" ht="15.75" customHeight="1">
      <c r="A602" s="83" t="s">
        <v>749</v>
      </c>
    </row>
    <row r="603" ht="15.75" customHeight="1">
      <c r="A603" s="83" t="s">
        <v>790</v>
      </c>
    </row>
    <row r="604" ht="15.75" customHeight="1">
      <c r="A604" s="83" t="s">
        <v>791</v>
      </c>
    </row>
    <row r="605" ht="15.75" customHeight="1">
      <c r="A605" s="83" t="s">
        <v>795</v>
      </c>
    </row>
    <row r="606" ht="15.75" customHeight="1">
      <c r="A606" s="83" t="s">
        <v>790</v>
      </c>
    </row>
    <row r="607" ht="15.75" customHeight="1">
      <c r="A607" s="83" t="s">
        <v>758</v>
      </c>
    </row>
    <row r="608" ht="15.75" customHeight="1">
      <c r="A608" s="83" t="s">
        <v>796</v>
      </c>
    </row>
    <row r="609" ht="15.75" customHeight="1">
      <c r="A609" s="83" t="s">
        <v>797</v>
      </c>
    </row>
    <row r="610" ht="15.75" customHeight="1">
      <c r="A610" s="83" t="s">
        <v>798</v>
      </c>
    </row>
    <row r="611" ht="15.75" customHeight="1">
      <c r="A611" s="83" t="s">
        <v>799</v>
      </c>
    </row>
    <row r="612" ht="15.75" customHeight="1">
      <c r="A612" s="83" t="s">
        <v>790</v>
      </c>
    </row>
    <row r="613" ht="15.75" customHeight="1">
      <c r="A613" s="83" t="s">
        <v>758</v>
      </c>
    </row>
    <row r="614" ht="15.75" customHeight="1">
      <c r="A614" s="83" t="s">
        <v>800</v>
      </c>
    </row>
    <row r="615" ht="15.75" customHeight="1">
      <c r="A615" s="83" t="s">
        <v>765</v>
      </c>
    </row>
    <row r="616" ht="15.75" customHeight="1">
      <c r="A616" s="83" t="s">
        <v>749</v>
      </c>
    </row>
    <row r="617" ht="15.75" customHeight="1"/>
    <row r="618" ht="15.75" customHeight="1">
      <c r="A618" s="83" t="s">
        <v>801</v>
      </c>
    </row>
    <row r="619" ht="15.75" customHeight="1">
      <c r="A619" s="83" t="s">
        <v>802</v>
      </c>
    </row>
    <row r="620" ht="15.75" customHeight="1">
      <c r="A620" s="83" t="s">
        <v>803</v>
      </c>
    </row>
    <row r="621" ht="15.75" customHeight="1">
      <c r="A621" s="83" t="s">
        <v>804</v>
      </c>
    </row>
    <row r="622" ht="15.75" customHeight="1">
      <c r="A622" s="83" t="s">
        <v>749</v>
      </c>
    </row>
    <row r="623" ht="15.75" customHeight="1">
      <c r="A623" s="83" t="s">
        <v>805</v>
      </c>
    </row>
    <row r="624" ht="15.75" customHeight="1"/>
    <row r="625" ht="15.75" customHeight="1">
      <c r="A625" s="83" t="s">
        <v>806</v>
      </c>
    </row>
    <row r="626" ht="15.75" customHeight="1">
      <c r="A626" s="83" t="s">
        <v>807</v>
      </c>
    </row>
    <row r="627" ht="15.75" customHeight="1">
      <c r="A627" s="83" t="s">
        <v>808</v>
      </c>
    </row>
    <row r="628" ht="15.75" customHeight="1"/>
    <row r="629" ht="15.75" customHeight="1">
      <c r="A629" s="83" t="s">
        <v>809</v>
      </c>
    </row>
    <row r="630" ht="15.75" customHeight="1"/>
    <row r="631" ht="15.75" customHeight="1">
      <c r="A631" s="83" t="s">
        <v>810</v>
      </c>
    </row>
    <row r="632" ht="15.75" customHeight="1">
      <c r="A632" s="83" t="s">
        <v>811</v>
      </c>
    </row>
    <row r="633" ht="15.75" customHeight="1">
      <c r="A633" s="83" t="s">
        <v>812</v>
      </c>
    </row>
    <row r="634" ht="15.75" customHeight="1">
      <c r="A634" s="83" t="s">
        <v>813</v>
      </c>
    </row>
    <row r="635" ht="15.75" customHeight="1">
      <c r="A635" s="83" t="s">
        <v>814</v>
      </c>
    </row>
    <row r="636" ht="15.75" customHeight="1">
      <c r="A636" s="83" t="s">
        <v>223</v>
      </c>
    </row>
    <row r="637" ht="15.75" customHeight="1">
      <c r="A637" s="83" t="s">
        <v>223</v>
      </c>
    </row>
    <row r="638" ht="15.75" customHeight="1">
      <c r="A638" s="83" t="s">
        <v>223</v>
      </c>
    </row>
    <row r="639" ht="15.75" customHeight="1"/>
    <row r="640" ht="15.75" customHeight="1">
      <c r="A640" s="83" t="s">
        <v>815</v>
      </c>
    </row>
    <row r="641" ht="15.75" customHeight="1">
      <c r="A641" s="83" t="s">
        <v>816</v>
      </c>
    </row>
    <row r="642" ht="15.75" customHeight="1">
      <c r="A642" s="83" t="s">
        <v>817</v>
      </c>
    </row>
    <row r="643" ht="15.75" customHeight="1">
      <c r="A643" s="83" t="s">
        <v>818</v>
      </c>
    </row>
    <row r="644" ht="15.75" customHeight="1"/>
    <row r="645" ht="15.75" customHeight="1">
      <c r="A645" s="83" t="s">
        <v>819</v>
      </c>
    </row>
    <row r="646" ht="15.75" customHeight="1">
      <c r="A646" s="83" t="s">
        <v>820</v>
      </c>
    </row>
    <row r="647" ht="15.75" customHeight="1">
      <c r="A647" s="83" t="s">
        <v>821</v>
      </c>
    </row>
    <row r="648" ht="15.75" customHeight="1">
      <c r="A648" s="83" t="s">
        <v>822</v>
      </c>
    </row>
    <row r="649" ht="15.75" customHeight="1">
      <c r="A649" s="83" t="s">
        <v>823</v>
      </c>
    </row>
    <row r="650" ht="15.75" customHeight="1">
      <c r="A650" s="83" t="s">
        <v>824</v>
      </c>
    </row>
    <row r="651" ht="15.75" customHeight="1">
      <c r="A651" s="83" t="s">
        <v>825</v>
      </c>
    </row>
    <row r="652" ht="15.75" customHeight="1">
      <c r="A652" s="83" t="s">
        <v>223</v>
      </c>
    </row>
    <row r="653" ht="15.75" customHeight="1"/>
    <row r="654" ht="15.75" customHeight="1">
      <c r="A654" s="83" t="s">
        <v>826</v>
      </c>
    </row>
    <row r="655" ht="15.75" customHeight="1">
      <c r="A655" s="83" t="s">
        <v>827</v>
      </c>
    </row>
    <row r="656" ht="15.75" customHeight="1">
      <c r="A656" s="83" t="s">
        <v>828</v>
      </c>
    </row>
    <row r="657" ht="15.75" customHeight="1">
      <c r="A657" s="83" t="s">
        <v>829</v>
      </c>
    </row>
    <row r="658" ht="15.75" customHeight="1">
      <c r="A658" s="83" t="s">
        <v>830</v>
      </c>
    </row>
    <row r="659" ht="15.75" customHeight="1">
      <c r="A659" s="83" t="s">
        <v>824</v>
      </c>
    </row>
    <row r="660" ht="15.75" customHeight="1">
      <c r="A660" s="83" t="s">
        <v>831</v>
      </c>
    </row>
    <row r="661" ht="15.75" customHeight="1">
      <c r="A661" s="83" t="s">
        <v>223</v>
      </c>
    </row>
    <row r="662" ht="15.75" customHeight="1"/>
    <row r="663" ht="15.75" customHeight="1">
      <c r="A663" s="83" t="s">
        <v>832</v>
      </c>
    </row>
    <row r="664" ht="15.75" customHeight="1">
      <c r="A664" s="83" t="s">
        <v>833</v>
      </c>
    </row>
    <row r="665" ht="15.75" customHeight="1">
      <c r="A665" s="83" t="s">
        <v>834</v>
      </c>
    </row>
    <row r="666" ht="15.75" customHeight="1">
      <c r="A666" s="83" t="s">
        <v>835</v>
      </c>
    </row>
    <row r="667" ht="15.75" customHeight="1">
      <c r="A667" s="83" t="s">
        <v>836</v>
      </c>
    </row>
    <row r="668" ht="15.75" customHeight="1">
      <c r="A668" s="83" t="s">
        <v>824</v>
      </c>
    </row>
    <row r="669" ht="15.75" customHeight="1">
      <c r="A669" s="83" t="s">
        <v>837</v>
      </c>
    </row>
    <row r="670" ht="15.75" customHeight="1">
      <c r="A670" s="83" t="s">
        <v>223</v>
      </c>
    </row>
    <row r="671" ht="15.75" customHeight="1">
      <c r="A671" s="83" t="s">
        <v>223</v>
      </c>
    </row>
    <row r="672" ht="15.75" customHeight="1"/>
    <row r="673" ht="15.75" customHeight="1">
      <c r="A673" s="83" t="s">
        <v>838</v>
      </c>
    </row>
    <row r="674" ht="15.75" customHeight="1">
      <c r="A674" s="83" t="s">
        <v>839</v>
      </c>
    </row>
    <row r="675" ht="15.75" customHeight="1">
      <c r="A675" s="83" t="s">
        <v>840</v>
      </c>
    </row>
    <row r="676" ht="15.75" customHeight="1">
      <c r="A676" s="83" t="s">
        <v>479</v>
      </c>
    </row>
    <row r="677" ht="15.75" customHeight="1">
      <c r="A677" s="83" t="s">
        <v>841</v>
      </c>
    </row>
    <row r="678" ht="15.75" customHeight="1">
      <c r="A678" s="83" t="s">
        <v>842</v>
      </c>
    </row>
    <row r="679" ht="15.75" customHeight="1">
      <c r="A679" s="83" t="s">
        <v>843</v>
      </c>
    </row>
    <row r="680" ht="15.75" customHeight="1">
      <c r="A680" s="83" t="s">
        <v>844</v>
      </c>
    </row>
    <row r="681" ht="15.75" customHeight="1">
      <c r="A681" s="83" t="s">
        <v>845</v>
      </c>
    </row>
    <row r="682" ht="15.75" customHeight="1">
      <c r="A682" s="83" t="s">
        <v>846</v>
      </c>
    </row>
    <row r="683" ht="15.75" customHeight="1">
      <c r="A683" s="83" t="s">
        <v>847</v>
      </c>
    </row>
    <row r="684" ht="15.75" customHeight="1">
      <c r="A684" s="83" t="s">
        <v>223</v>
      </c>
    </row>
    <row r="685" ht="15.75" customHeight="1">
      <c r="A685" s="83" t="s">
        <v>223</v>
      </c>
    </row>
    <row r="686" ht="15.75" customHeight="1"/>
    <row r="687" ht="15.75" customHeight="1">
      <c r="A687" s="83" t="s">
        <v>848</v>
      </c>
    </row>
    <row r="688" ht="15.75" customHeight="1">
      <c r="A688" s="83" t="s">
        <v>849</v>
      </c>
    </row>
    <row r="689" ht="15.75" customHeight="1">
      <c r="A689" s="83" t="s">
        <v>850</v>
      </c>
    </row>
    <row r="690" ht="15.75" customHeight="1">
      <c r="A690" s="83" t="s">
        <v>223</v>
      </c>
    </row>
    <row r="691" ht="15.75" customHeight="1">
      <c r="A691" s="83" t="s">
        <v>851</v>
      </c>
    </row>
    <row r="692" ht="15.75" customHeight="1">
      <c r="A692" s="83" t="s">
        <v>852</v>
      </c>
    </row>
    <row r="693" ht="15.75" customHeight="1">
      <c r="A693" s="83" t="s">
        <v>223</v>
      </c>
    </row>
    <row r="694" ht="15.75" customHeight="1">
      <c r="A694" s="83" t="s">
        <v>853</v>
      </c>
    </row>
    <row r="695" ht="15.75" customHeight="1">
      <c r="A695" s="83" t="s">
        <v>854</v>
      </c>
    </row>
    <row r="696" ht="15.75" customHeight="1">
      <c r="A696" s="83" t="s">
        <v>855</v>
      </c>
    </row>
    <row r="697" ht="15.75" customHeight="1">
      <c r="A697" s="83" t="s">
        <v>856</v>
      </c>
    </row>
    <row r="698" ht="15.75" customHeight="1">
      <c r="A698" s="83" t="s">
        <v>857</v>
      </c>
    </row>
    <row r="699" ht="15.75" customHeight="1">
      <c r="A699" s="83" t="s">
        <v>858</v>
      </c>
    </row>
    <row r="700" ht="15.75" customHeight="1">
      <c r="A700" s="83" t="s">
        <v>223</v>
      </c>
    </row>
    <row r="701" ht="15.75" customHeight="1">
      <c r="A701" s="83" t="s">
        <v>859</v>
      </c>
    </row>
    <row r="702" ht="15.75" customHeight="1">
      <c r="A702" s="83" t="s">
        <v>860</v>
      </c>
    </row>
    <row r="703" ht="15.75" customHeight="1">
      <c r="A703" s="83" t="s">
        <v>861</v>
      </c>
    </row>
    <row r="704" ht="15.75" customHeight="1">
      <c r="A704" s="83" t="s">
        <v>862</v>
      </c>
    </row>
    <row r="705" ht="15.75" customHeight="1">
      <c r="A705" s="83" t="s">
        <v>863</v>
      </c>
    </row>
    <row r="706" ht="15.75" customHeight="1">
      <c r="A706" s="83" t="s">
        <v>864</v>
      </c>
    </row>
    <row r="707" ht="15.75" customHeight="1">
      <c r="A707" s="83" t="s">
        <v>865</v>
      </c>
    </row>
    <row r="708" ht="15.75" customHeight="1">
      <c r="A708" s="83" t="s">
        <v>223</v>
      </c>
    </row>
    <row r="709" ht="15.75" customHeight="1">
      <c r="A709" s="83" t="s">
        <v>866</v>
      </c>
    </row>
    <row r="710" ht="15.75" customHeight="1">
      <c r="A710" s="83" t="s">
        <v>867</v>
      </c>
    </row>
    <row r="711" ht="15.75" customHeight="1">
      <c r="A711" s="83" t="s">
        <v>868</v>
      </c>
    </row>
    <row r="712" ht="15.75" customHeight="1">
      <c r="A712" s="83" t="s">
        <v>223</v>
      </c>
    </row>
    <row r="713" ht="15.75" customHeight="1">
      <c r="A713" s="83" t="s">
        <v>869</v>
      </c>
    </row>
    <row r="714" ht="15.75" customHeight="1">
      <c r="A714" s="83" t="s">
        <v>870</v>
      </c>
    </row>
    <row r="715" ht="15.75" customHeight="1">
      <c r="A715" s="83" t="s">
        <v>871</v>
      </c>
    </row>
    <row r="716" ht="15.75" customHeight="1">
      <c r="A716" s="83" t="s">
        <v>223</v>
      </c>
    </row>
    <row r="717" ht="15.75" customHeight="1"/>
    <row r="718" ht="15.75" customHeight="1">
      <c r="A718" s="83" t="s">
        <v>872</v>
      </c>
    </row>
    <row r="719" ht="15.75" customHeight="1">
      <c r="A719" s="83" t="s">
        <v>999</v>
      </c>
    </row>
    <row r="720" ht="15.75" customHeight="1">
      <c r="A720" s="83" t="s">
        <v>479</v>
      </c>
    </row>
    <row r="721" ht="15.75" customHeight="1">
      <c r="A721" s="83" t="s">
        <v>1000</v>
      </c>
    </row>
    <row r="722" ht="15.75" customHeight="1"/>
    <row r="723" ht="15.75" customHeight="1">
      <c r="A723" s="83" t="s">
        <v>1004</v>
      </c>
    </row>
    <row r="724" ht="15.75" customHeight="1">
      <c r="A724" s="83" t="s">
        <v>1005</v>
      </c>
    </row>
    <row r="725" ht="15.75" customHeight="1">
      <c r="A725" s="83" t="s">
        <v>1006</v>
      </c>
    </row>
    <row r="726" ht="15.75" customHeight="1">
      <c r="A726" s="83" t="s">
        <v>223</v>
      </c>
    </row>
    <row r="727" ht="15.75" customHeight="1"/>
    <row r="728" ht="15.75" customHeight="1">
      <c r="A728" s="83" t="s">
        <v>1797</v>
      </c>
    </row>
    <row r="729" ht="15.75" customHeight="1">
      <c r="A729" s="83" t="s">
        <v>521</v>
      </c>
    </row>
    <row r="730" ht="15.75" customHeight="1">
      <c r="A730" s="83" t="s">
        <v>1012</v>
      </c>
    </row>
    <row r="731" ht="15.75" customHeight="1">
      <c r="A731" s="83" t="s">
        <v>223</v>
      </c>
    </row>
    <row r="732" ht="15.75" customHeight="1"/>
    <row r="733" ht="15.75" customHeight="1">
      <c r="A733" s="83" t="s">
        <v>1013</v>
      </c>
    </row>
    <row r="734" ht="15.75" customHeight="1">
      <c r="A734" s="83" t="s">
        <v>1014</v>
      </c>
    </row>
    <row r="735" ht="15.75" customHeight="1"/>
    <row r="736" ht="15.75" customHeight="1">
      <c r="A736" s="83" t="s">
        <v>1015</v>
      </c>
    </row>
    <row r="737" ht="15.75" customHeight="1">
      <c r="A737" s="83" t="s">
        <v>479</v>
      </c>
    </row>
    <row r="738" ht="15.75" customHeight="1">
      <c r="A738" s="83" t="s">
        <v>527</v>
      </c>
    </row>
    <row r="739" ht="15.75" customHeight="1">
      <c r="A739" s="83" t="s">
        <v>528</v>
      </c>
    </row>
    <row r="740" ht="15.75" customHeight="1">
      <c r="A740" s="83" t="s">
        <v>1016</v>
      </c>
    </row>
    <row r="741" ht="15.75" customHeight="1">
      <c r="A741" s="83" t="s">
        <v>223</v>
      </c>
    </row>
    <row r="742" ht="15.75" customHeight="1"/>
    <row r="743" ht="15.75" customHeight="1">
      <c r="A743" s="83" t="s">
        <v>1798</v>
      </c>
    </row>
    <row r="744" ht="15.75" customHeight="1">
      <c r="A744" s="83" t="s">
        <v>528</v>
      </c>
    </row>
    <row r="745" ht="15.75" customHeight="1">
      <c r="A745" s="83" t="s">
        <v>1018</v>
      </c>
    </row>
    <row r="746" ht="15.75" customHeight="1">
      <c r="A746" s="83" t="s">
        <v>223</v>
      </c>
    </row>
    <row r="747" ht="15.75" customHeight="1">
      <c r="A747" s="83" t="s">
        <v>223</v>
      </c>
    </row>
    <row r="748" ht="15.75" customHeight="1"/>
    <row r="749" ht="15.75" customHeight="1">
      <c r="A749" s="83" t="s">
        <v>1019</v>
      </c>
    </row>
    <row r="750" ht="15.75" customHeight="1">
      <c r="A750" s="83" t="s">
        <v>1020</v>
      </c>
    </row>
    <row r="751" ht="15.75" customHeight="1">
      <c r="A751" s="83" t="s">
        <v>479</v>
      </c>
    </row>
    <row r="752" ht="15.75" customHeight="1">
      <c r="A752" s="83" t="s">
        <v>1021</v>
      </c>
    </row>
    <row r="753" ht="15.75" customHeight="1"/>
    <row r="754" ht="15.75" customHeight="1">
      <c r="A754" s="83" t="s">
        <v>1022</v>
      </c>
    </row>
    <row r="755" ht="15.75" customHeight="1">
      <c r="A755" s="83" t="s">
        <v>1023</v>
      </c>
    </row>
    <row r="756" ht="15.75" customHeight="1"/>
    <row r="757" ht="15.75" customHeight="1">
      <c r="A757" s="83" t="s">
        <v>1024</v>
      </c>
    </row>
    <row r="758" ht="15.75" customHeight="1">
      <c r="A758" s="83" t="s">
        <v>1025</v>
      </c>
    </row>
    <row r="759" ht="15.75" customHeight="1">
      <c r="A759" s="83" t="s">
        <v>1026</v>
      </c>
    </row>
    <row r="760" ht="15.75" customHeight="1">
      <c r="A760" s="83" t="s">
        <v>1027</v>
      </c>
    </row>
    <row r="761" ht="15.75" customHeight="1">
      <c r="A761" s="83" t="s">
        <v>223</v>
      </c>
    </row>
    <row r="762" ht="15.75" customHeight="1"/>
    <row r="763" ht="15.75" customHeight="1">
      <c r="A763" s="83" t="s">
        <v>1028</v>
      </c>
    </row>
    <row r="764" ht="15.75" customHeight="1"/>
    <row r="765" ht="15.75" customHeight="1">
      <c r="A765" s="83" t="s">
        <v>1029</v>
      </c>
    </row>
    <row r="766" ht="15.75" customHeight="1">
      <c r="A766" s="83" t="s">
        <v>1030</v>
      </c>
    </row>
    <row r="767" ht="15.75" customHeight="1">
      <c r="A767" s="83" t="s">
        <v>1031</v>
      </c>
    </row>
    <row r="768" ht="15.75" customHeight="1">
      <c r="A768" s="83" t="s">
        <v>1032</v>
      </c>
    </row>
    <row r="769" ht="15.75" customHeight="1">
      <c r="A769" s="83" t="s">
        <v>223</v>
      </c>
    </row>
    <row r="770" ht="15.75" customHeight="1"/>
    <row r="771" ht="15.75" customHeight="1">
      <c r="A771" s="83" t="s">
        <v>528</v>
      </c>
    </row>
    <row r="772" ht="15.75" customHeight="1">
      <c r="A772" s="83" t="s">
        <v>1033</v>
      </c>
    </row>
    <row r="773" ht="15.75" customHeight="1">
      <c r="A773" s="83" t="s">
        <v>223</v>
      </c>
    </row>
    <row r="774" ht="15.75" customHeight="1">
      <c r="A774" s="83" t="s">
        <v>223</v>
      </c>
    </row>
    <row r="775" ht="15.75" customHeight="1"/>
    <row r="776" ht="15.75" customHeight="1">
      <c r="A776" s="83" t="s">
        <v>1034</v>
      </c>
    </row>
    <row r="777" ht="15.75" customHeight="1">
      <c r="A777" s="83" t="s">
        <v>1035</v>
      </c>
    </row>
    <row r="778" ht="15.75" customHeight="1">
      <c r="A778" s="83" t="s">
        <v>479</v>
      </c>
    </row>
    <row r="779" ht="15.75" customHeight="1">
      <c r="A779" s="83" t="s">
        <v>458</v>
      </c>
    </row>
    <row r="780" ht="15.75" customHeight="1">
      <c r="A780" s="83" t="s">
        <v>1036</v>
      </c>
    </row>
    <row r="781" ht="15.75" customHeight="1">
      <c r="A781" s="83" t="s">
        <v>1037</v>
      </c>
    </row>
    <row r="782" ht="15.75" customHeight="1">
      <c r="A782" s="83" t="s">
        <v>494</v>
      </c>
    </row>
    <row r="783" ht="15.75" customHeight="1">
      <c r="A783" s="83" t="s">
        <v>223</v>
      </c>
    </row>
    <row r="784" ht="15.75" customHeight="1"/>
    <row r="785" ht="15.75" customHeight="1">
      <c r="A785" s="83" t="s">
        <v>1038</v>
      </c>
    </row>
    <row r="786" ht="15.75" customHeight="1">
      <c r="A786" s="83" t="s">
        <v>1039</v>
      </c>
    </row>
    <row r="787" ht="15.75" customHeight="1">
      <c r="A787" s="83" t="s">
        <v>1040</v>
      </c>
    </row>
    <row r="788" ht="15.75" customHeight="1">
      <c r="A788" s="83" t="s">
        <v>528</v>
      </c>
    </row>
    <row r="789" ht="15.75" customHeight="1">
      <c r="A789" s="83" t="s">
        <v>1041</v>
      </c>
    </row>
    <row r="790" ht="15.75" customHeight="1">
      <c r="A790" s="83" t="s">
        <v>1042</v>
      </c>
    </row>
    <row r="791" ht="15.75" customHeight="1">
      <c r="A791" s="83" t="s">
        <v>223</v>
      </c>
    </row>
    <row r="792" ht="15.75" customHeight="1">
      <c r="A792" s="83" t="s">
        <v>223</v>
      </c>
    </row>
    <row r="793" ht="15.75" customHeight="1"/>
    <row r="794" ht="15.75" customHeight="1">
      <c r="A794" s="83" t="s">
        <v>1043</v>
      </c>
    </row>
    <row r="795" ht="15.75" customHeight="1">
      <c r="A795" s="83" t="s">
        <v>479</v>
      </c>
    </row>
    <row r="796" ht="15.75" customHeight="1">
      <c r="A796" s="83" t="s">
        <v>458</v>
      </c>
    </row>
    <row r="797" ht="15.75" customHeight="1">
      <c r="A797" s="83" t="s">
        <v>1036</v>
      </c>
    </row>
    <row r="798" ht="15.75" customHeight="1">
      <c r="A798" s="83" t="s">
        <v>1037</v>
      </c>
    </row>
    <row r="799" ht="15.75" customHeight="1">
      <c r="A799" s="83" t="s">
        <v>494</v>
      </c>
    </row>
    <row r="800" ht="15.75" customHeight="1">
      <c r="A800" s="83" t="s">
        <v>223</v>
      </c>
    </row>
    <row r="801" ht="15.75" customHeight="1"/>
    <row r="802" ht="15.75" customHeight="1">
      <c r="A802" s="83" t="s">
        <v>1038</v>
      </c>
    </row>
    <row r="803" ht="15.75" customHeight="1">
      <c r="A803" s="83" t="s">
        <v>1044</v>
      </c>
    </row>
    <row r="804" ht="15.75" customHeight="1">
      <c r="A804" s="83" t="s">
        <v>1045</v>
      </c>
    </row>
    <row r="805" ht="15.75" customHeight="1">
      <c r="A805" s="83" t="s">
        <v>528</v>
      </c>
    </row>
    <row r="806" ht="15.75" customHeight="1">
      <c r="A806" s="83" t="s">
        <v>1046</v>
      </c>
    </row>
    <row r="807" ht="15.75" customHeight="1">
      <c r="A807" s="83" t="s">
        <v>1042</v>
      </c>
    </row>
    <row r="808" ht="15.75" customHeight="1">
      <c r="A808" s="83" t="s">
        <v>223</v>
      </c>
    </row>
    <row r="809" ht="15.75" customHeight="1">
      <c r="A809" s="83" t="s">
        <v>223</v>
      </c>
    </row>
    <row r="810" ht="15.75" customHeight="1"/>
    <row r="811" ht="15.75" customHeight="1">
      <c r="A811" s="83" t="s">
        <v>1047</v>
      </c>
    </row>
    <row r="812" ht="15.75" customHeight="1">
      <c r="A812" s="83" t="s">
        <v>479</v>
      </c>
    </row>
    <row r="813" ht="15.75" customHeight="1">
      <c r="A813" s="83" t="s">
        <v>458</v>
      </c>
    </row>
    <row r="814" ht="15.75" customHeight="1">
      <c r="A814" s="83" t="s">
        <v>1036</v>
      </c>
    </row>
    <row r="815" ht="15.75" customHeight="1">
      <c r="A815" s="83" t="s">
        <v>1037</v>
      </c>
    </row>
    <row r="816" ht="15.75" customHeight="1">
      <c r="A816" s="83" t="s">
        <v>494</v>
      </c>
    </row>
    <row r="817" ht="15.75" customHeight="1">
      <c r="A817" s="83" t="s">
        <v>223</v>
      </c>
    </row>
    <row r="818" ht="15.75" customHeight="1"/>
    <row r="819" ht="15.75" customHeight="1">
      <c r="A819" s="83" t="s">
        <v>1038</v>
      </c>
    </row>
    <row r="820" ht="15.75" customHeight="1">
      <c r="A820" s="83" t="s">
        <v>1048</v>
      </c>
    </row>
    <row r="821" ht="15.75" customHeight="1">
      <c r="A821" s="83" t="s">
        <v>1049</v>
      </c>
    </row>
    <row r="822" ht="15.75" customHeight="1">
      <c r="A822" s="83" t="s">
        <v>528</v>
      </c>
    </row>
    <row r="823" ht="15.75" customHeight="1">
      <c r="A823" s="83" t="s">
        <v>1050</v>
      </c>
    </row>
    <row r="824" ht="15.75" customHeight="1">
      <c r="A824" s="83" t="s">
        <v>1042</v>
      </c>
    </row>
    <row r="825" ht="15.75" customHeight="1">
      <c r="A825" s="83" t="s">
        <v>223</v>
      </c>
    </row>
    <row r="826" ht="15.75" customHeight="1">
      <c r="A826" s="83" t="s">
        <v>223</v>
      </c>
    </row>
    <row r="827" ht="15.75" customHeight="1"/>
    <row r="828" ht="15.75" customHeight="1">
      <c r="A828" s="83" t="s">
        <v>1051</v>
      </c>
    </row>
    <row r="829" ht="15.75" customHeight="1">
      <c r="A829" s="83" t="s">
        <v>479</v>
      </c>
    </row>
    <row r="830" ht="15.75" customHeight="1">
      <c r="A830" s="83" t="s">
        <v>458</v>
      </c>
    </row>
    <row r="831" ht="15.75" customHeight="1">
      <c r="A831" s="83" t="s">
        <v>1036</v>
      </c>
    </row>
    <row r="832" ht="15.75" customHeight="1">
      <c r="A832" s="83" t="s">
        <v>1037</v>
      </c>
    </row>
    <row r="833" ht="15.75" customHeight="1">
      <c r="A833" s="83" t="s">
        <v>494</v>
      </c>
    </row>
    <row r="834" ht="15.75" customHeight="1">
      <c r="A834" s="83" t="s">
        <v>223</v>
      </c>
    </row>
    <row r="835" ht="15.75" customHeight="1"/>
    <row r="836" ht="15.75" customHeight="1">
      <c r="A836" s="83" t="s">
        <v>1052</v>
      </c>
    </row>
    <row r="837" ht="15.75" customHeight="1">
      <c r="A837" s="83" t="s">
        <v>1053</v>
      </c>
    </row>
    <row r="838" ht="15.75" customHeight="1">
      <c r="A838" s="83" t="s">
        <v>528</v>
      </c>
    </row>
    <row r="839" ht="15.75" customHeight="1">
      <c r="A839" s="83" t="s">
        <v>1054</v>
      </c>
    </row>
    <row r="840" ht="15.75" customHeight="1">
      <c r="A840" s="83" t="s">
        <v>1042</v>
      </c>
    </row>
    <row r="841" ht="15.75" customHeight="1">
      <c r="A841" s="83" t="s">
        <v>223</v>
      </c>
    </row>
    <row r="842" ht="15.75" customHeight="1">
      <c r="A842" s="83" t="s">
        <v>223</v>
      </c>
    </row>
    <row r="843" ht="15.75" customHeight="1"/>
    <row r="844" ht="15.75" customHeight="1">
      <c r="A844" s="83" t="s">
        <v>1055</v>
      </c>
    </row>
    <row r="845" ht="15.75" customHeight="1">
      <c r="A845" s="83" t="s">
        <v>490</v>
      </c>
    </row>
    <row r="846" ht="15.75" customHeight="1">
      <c r="A846" s="83" t="s">
        <v>1056</v>
      </c>
    </row>
    <row r="847" ht="15.75" customHeight="1">
      <c r="A847" s="83" t="s">
        <v>882</v>
      </c>
    </row>
    <row r="848" ht="15.75" customHeight="1"/>
    <row r="849" ht="15.75" customHeight="1">
      <c r="A849" s="83" t="s">
        <v>1057</v>
      </c>
    </row>
    <row r="850" ht="15.75" customHeight="1">
      <c r="A850" s="83" t="s">
        <v>1058</v>
      </c>
    </row>
    <row r="851" ht="15.75" customHeight="1"/>
    <row r="852" ht="15.75" customHeight="1">
      <c r="A852" s="83" t="s">
        <v>945</v>
      </c>
    </row>
    <row r="853" ht="15.75" customHeight="1">
      <c r="A853" s="83" t="s">
        <v>1059</v>
      </c>
    </row>
    <row r="854" ht="15.75" customHeight="1">
      <c r="A854" s="83" t="s">
        <v>1060</v>
      </c>
    </row>
    <row r="855" ht="15.75" customHeight="1">
      <c r="A855" s="83" t="s">
        <v>888</v>
      </c>
    </row>
    <row r="856" ht="15.75" customHeight="1">
      <c r="A856" s="83" t="s">
        <v>889</v>
      </c>
    </row>
    <row r="857" ht="15.75" customHeight="1">
      <c r="A857" s="83" t="s">
        <v>1061</v>
      </c>
    </row>
    <row r="858" ht="15.75" customHeight="1">
      <c r="A858" s="83" t="s">
        <v>1062</v>
      </c>
    </row>
    <row r="859" ht="15.75" customHeight="1"/>
    <row r="860" ht="15.75" customHeight="1">
      <c r="A860" s="83" t="s">
        <v>1063</v>
      </c>
    </row>
    <row r="861" ht="15.75" customHeight="1">
      <c r="A861" s="83" t="s">
        <v>1064</v>
      </c>
    </row>
    <row r="862" ht="15.75" customHeight="1">
      <c r="A862" s="83" t="s">
        <v>1065</v>
      </c>
    </row>
    <row r="863" ht="15.75" customHeight="1">
      <c r="A863" s="83" t="s">
        <v>1066</v>
      </c>
    </row>
    <row r="864" ht="15.75" customHeight="1">
      <c r="A864" s="83" t="s">
        <v>223</v>
      </c>
    </row>
    <row r="865" ht="15.75" customHeight="1">
      <c r="A865" s="83" t="s">
        <v>932</v>
      </c>
    </row>
    <row r="866" ht="15.75" customHeight="1">
      <c r="A866" s="83" t="s">
        <v>1067</v>
      </c>
    </row>
    <row r="867" ht="15.75" customHeight="1">
      <c r="A867" s="83" t="s">
        <v>1068</v>
      </c>
    </row>
    <row r="868" ht="15.75" customHeight="1">
      <c r="A868" s="83" t="s">
        <v>223</v>
      </c>
    </row>
    <row r="869" ht="15.75" customHeight="1">
      <c r="A869" s="83" t="s">
        <v>223</v>
      </c>
    </row>
    <row r="870" ht="15.75" customHeight="1"/>
    <row r="871" ht="15.75" customHeight="1">
      <c r="A871" s="83" t="s">
        <v>1069</v>
      </c>
    </row>
    <row r="872" ht="15.75" customHeight="1">
      <c r="A872" s="83" t="s">
        <v>1070</v>
      </c>
    </row>
    <row r="873" ht="15.75" customHeight="1">
      <c r="A873" s="83" t="s">
        <v>1071</v>
      </c>
    </row>
    <row r="874" ht="15.75" customHeight="1">
      <c r="A874" s="83" t="s">
        <v>223</v>
      </c>
    </row>
    <row r="875" ht="15.75" customHeight="1">
      <c r="A875" s="83" t="s">
        <v>223</v>
      </c>
    </row>
    <row r="876" ht="15.75" customHeight="1"/>
    <row r="877" ht="15.75" customHeight="1">
      <c r="A877" s="83" t="s">
        <v>1072</v>
      </c>
    </row>
    <row r="878" ht="15.75" customHeight="1">
      <c r="A878" s="83" t="s">
        <v>1073</v>
      </c>
    </row>
    <row r="879" ht="15.75" customHeight="1">
      <c r="A879" s="83" t="s">
        <v>1074</v>
      </c>
    </row>
    <row r="880" ht="15.75" customHeight="1">
      <c r="A880" s="83" t="s">
        <v>1075</v>
      </c>
    </row>
    <row r="881" ht="15.75" customHeight="1">
      <c r="A881" s="83" t="s">
        <v>1076</v>
      </c>
    </row>
    <row r="882" ht="15.75" customHeight="1">
      <c r="A882" s="83" t="s">
        <v>1077</v>
      </c>
    </row>
    <row r="883" ht="15.75" customHeight="1">
      <c r="A883" s="83" t="s">
        <v>1078</v>
      </c>
    </row>
    <row r="884" ht="15.75" customHeight="1">
      <c r="A884" s="83" t="s">
        <v>220</v>
      </c>
    </row>
    <row r="885" ht="15.75" customHeight="1">
      <c r="A885" s="83" t="s">
        <v>223</v>
      </c>
    </row>
    <row r="886" ht="15.75" customHeight="1"/>
    <row r="887" ht="15.75" customHeight="1">
      <c r="A887" s="83" t="s">
        <v>1079</v>
      </c>
    </row>
    <row r="888" ht="15.75" customHeight="1">
      <c r="A888" s="83" t="s">
        <v>1080</v>
      </c>
    </row>
    <row r="889" ht="15.75" customHeight="1">
      <c r="A889" s="83" t="s">
        <v>1081</v>
      </c>
    </row>
    <row r="890" ht="15.75" customHeight="1">
      <c r="A890" s="83" t="s">
        <v>1082</v>
      </c>
    </row>
    <row r="891" ht="15.75" customHeight="1">
      <c r="A891" s="83" t="s">
        <v>1083</v>
      </c>
    </row>
    <row r="892" ht="15.75" customHeight="1"/>
    <row r="893" ht="15.75" customHeight="1">
      <c r="A893" s="83" t="s">
        <v>490</v>
      </c>
    </row>
    <row r="894" ht="15.75" customHeight="1">
      <c r="A894" s="83" t="s">
        <v>882</v>
      </c>
    </row>
    <row r="895" ht="15.75" customHeight="1"/>
    <row r="896" ht="15.75" customHeight="1">
      <c r="A896" s="83" t="s">
        <v>1084</v>
      </c>
    </row>
    <row r="897" ht="15.75" customHeight="1">
      <c r="A897" s="83" t="s">
        <v>1085</v>
      </c>
    </row>
    <row r="898" ht="15.75" customHeight="1"/>
    <row r="899" ht="15.75" customHeight="1">
      <c r="A899" s="83" t="s">
        <v>945</v>
      </c>
    </row>
    <row r="900" ht="15.75" customHeight="1">
      <c r="A900" s="83" t="s">
        <v>1086</v>
      </c>
    </row>
    <row r="901" ht="15.75" customHeight="1">
      <c r="A901" s="83" t="s">
        <v>1087</v>
      </c>
    </row>
    <row r="902" ht="15.75" customHeight="1"/>
    <row r="903" ht="15.75" customHeight="1">
      <c r="A903" s="83" t="s">
        <v>888</v>
      </c>
    </row>
    <row r="904" ht="15.75" customHeight="1">
      <c r="A904" s="83" t="s">
        <v>889</v>
      </c>
    </row>
    <row r="905" ht="15.75" customHeight="1">
      <c r="A905" s="83" t="s">
        <v>1061</v>
      </c>
    </row>
    <row r="906" ht="15.75" customHeight="1">
      <c r="A906" s="83" t="s">
        <v>1088</v>
      </c>
    </row>
    <row r="907" ht="15.75" customHeight="1"/>
    <row r="908" ht="15.75" customHeight="1">
      <c r="A908" s="83" t="s">
        <v>1089</v>
      </c>
    </row>
    <row r="909" ht="15.75" customHeight="1">
      <c r="A909" s="83" t="s">
        <v>1090</v>
      </c>
    </row>
    <row r="910" ht="15.75" customHeight="1">
      <c r="A910" s="83" t="s">
        <v>1091</v>
      </c>
    </row>
    <row r="911" ht="15.75" customHeight="1">
      <c r="A911" s="83" t="s">
        <v>1092</v>
      </c>
    </row>
    <row r="912" ht="15.75" customHeight="1">
      <c r="A912" s="83" t="s">
        <v>223</v>
      </c>
    </row>
    <row r="913" ht="15.75" customHeight="1"/>
    <row r="914" ht="15.75" customHeight="1">
      <c r="A914" s="83" t="s">
        <v>1064</v>
      </c>
    </row>
    <row r="915" ht="15.75" customHeight="1">
      <c r="A915" s="83" t="s">
        <v>1093</v>
      </c>
    </row>
    <row r="916" ht="15.75" customHeight="1">
      <c r="A916" s="83" t="s">
        <v>1094</v>
      </c>
    </row>
    <row r="917" ht="15.75" customHeight="1">
      <c r="A917" s="83" t="s">
        <v>223</v>
      </c>
    </row>
    <row r="918" ht="15.75" customHeight="1">
      <c r="A918" s="83" t="s">
        <v>932</v>
      </c>
    </row>
    <row r="919" ht="15.75" customHeight="1">
      <c r="A919" s="83" t="s">
        <v>1095</v>
      </c>
    </row>
    <row r="920" ht="15.75" customHeight="1">
      <c r="A920" s="83" t="s">
        <v>1096</v>
      </c>
    </row>
    <row r="921" ht="15.75" customHeight="1">
      <c r="A921" s="83" t="s">
        <v>1097</v>
      </c>
    </row>
    <row r="922" ht="15.75" customHeight="1">
      <c r="A922" s="83" t="s">
        <v>1098</v>
      </c>
    </row>
    <row r="923" ht="15.75" customHeight="1">
      <c r="A923" s="83" t="s">
        <v>223</v>
      </c>
    </row>
    <row r="924" ht="15.75" customHeight="1">
      <c r="A924" s="83" t="s">
        <v>223</v>
      </c>
    </row>
    <row r="925" ht="15.75" customHeight="1">
      <c r="A925" s="83" t="s">
        <v>223</v>
      </c>
    </row>
    <row r="926" ht="15.75" customHeight="1"/>
    <row r="927" ht="15.75" customHeight="1">
      <c r="A927" s="83" t="s">
        <v>1072</v>
      </c>
    </row>
    <row r="928" ht="15.75" customHeight="1">
      <c r="A928" s="83" t="s">
        <v>1099</v>
      </c>
    </row>
    <row r="929" ht="15.75" customHeight="1">
      <c r="A929" s="83" t="s">
        <v>1100</v>
      </c>
    </row>
    <row r="930" ht="15.75" customHeight="1">
      <c r="A930" s="83" t="s">
        <v>1101</v>
      </c>
    </row>
    <row r="931" ht="15.75" customHeight="1">
      <c r="A931" s="83" t="s">
        <v>1102</v>
      </c>
    </row>
    <row r="932" ht="15.75" customHeight="1">
      <c r="A932" s="83" t="s">
        <v>1103</v>
      </c>
    </row>
    <row r="933" ht="15.75" customHeight="1">
      <c r="A933" s="83" t="s">
        <v>220</v>
      </c>
    </row>
    <row r="934" ht="15.75" customHeight="1">
      <c r="A934" s="83" t="s">
        <v>223</v>
      </c>
    </row>
    <row r="935" ht="15.75" customHeight="1"/>
    <row r="936" ht="15.75" customHeight="1">
      <c r="A936" s="83" t="s">
        <v>1104</v>
      </c>
    </row>
    <row r="937" ht="15.75" customHeight="1">
      <c r="A937" s="83" t="s">
        <v>1105</v>
      </c>
    </row>
    <row r="938" ht="15.75" customHeight="1">
      <c r="A938" s="83" t="s">
        <v>1106</v>
      </c>
    </row>
    <row r="939" ht="15.75" customHeight="1">
      <c r="A939" s="83" t="s">
        <v>1107</v>
      </c>
    </row>
    <row r="940" ht="15.75" customHeight="1">
      <c r="A940" s="83" t="s">
        <v>1108</v>
      </c>
    </row>
    <row r="941" ht="15.75" customHeight="1"/>
    <row r="942" ht="15.75" customHeight="1">
      <c r="A942" s="83" t="s">
        <v>490</v>
      </c>
    </row>
    <row r="943" ht="15.75" customHeight="1">
      <c r="A943" s="83" t="s">
        <v>882</v>
      </c>
    </row>
    <row r="944" ht="15.75" customHeight="1"/>
    <row r="945" ht="15.75" customHeight="1">
      <c r="A945" s="83" t="s">
        <v>1084</v>
      </c>
    </row>
    <row r="946" ht="15.75" customHeight="1">
      <c r="A946" s="83" t="s">
        <v>1109</v>
      </c>
    </row>
    <row r="947" ht="15.75" customHeight="1"/>
    <row r="948" ht="15.75" customHeight="1">
      <c r="A948" s="83" t="s">
        <v>945</v>
      </c>
    </row>
    <row r="949" ht="15.75" customHeight="1">
      <c r="A949" s="83" t="s">
        <v>1086</v>
      </c>
    </row>
    <row r="950" ht="15.75" customHeight="1">
      <c r="A950" s="83" t="s">
        <v>1087</v>
      </c>
    </row>
    <row r="951" ht="15.75" customHeight="1"/>
    <row r="952" ht="15.75" customHeight="1">
      <c r="A952" s="83" t="s">
        <v>1088</v>
      </c>
    </row>
    <row r="953" ht="15.75" customHeight="1">
      <c r="A953" s="83" t="s">
        <v>1110</v>
      </c>
    </row>
    <row r="954" ht="15.75" customHeight="1">
      <c r="A954" s="83" t="s">
        <v>888</v>
      </c>
    </row>
    <row r="955" ht="15.75" customHeight="1">
      <c r="A955" s="83" t="s">
        <v>889</v>
      </c>
    </row>
    <row r="956" ht="15.75" customHeight="1">
      <c r="A956" s="83" t="s">
        <v>1061</v>
      </c>
    </row>
    <row r="957" ht="15.75" customHeight="1">
      <c r="A957" s="83" t="s">
        <v>1111</v>
      </c>
    </row>
    <row r="958" ht="15.75" customHeight="1"/>
    <row r="959" ht="15.75" customHeight="1">
      <c r="A959" s="83" t="s">
        <v>1112</v>
      </c>
    </row>
    <row r="960" ht="15.75" customHeight="1">
      <c r="A960" s="83" t="s">
        <v>932</v>
      </c>
    </row>
    <row r="961" ht="15.75" customHeight="1">
      <c r="A961" s="83" t="s">
        <v>1097</v>
      </c>
    </row>
    <row r="962" ht="15.75" customHeight="1">
      <c r="A962" s="83" t="s">
        <v>1098</v>
      </c>
    </row>
    <row r="963" ht="15.75" customHeight="1"/>
    <row r="964" ht="15.75" customHeight="1">
      <c r="A964" s="83" t="s">
        <v>1113</v>
      </c>
    </row>
    <row r="965" ht="15.75" customHeight="1">
      <c r="A965" s="83" t="s">
        <v>1114</v>
      </c>
    </row>
    <row r="966" ht="15.75" customHeight="1">
      <c r="A966" s="83" t="s">
        <v>223</v>
      </c>
    </row>
    <row r="967" ht="15.75" customHeight="1">
      <c r="A967" s="83" t="s">
        <v>223</v>
      </c>
    </row>
    <row r="968" ht="15.75" customHeight="1">
      <c r="A968" s="83" t="s">
        <v>223</v>
      </c>
    </row>
    <row r="969" ht="15.75" customHeight="1"/>
    <row r="970" ht="15.75" customHeight="1">
      <c r="A970" s="83" t="s">
        <v>1072</v>
      </c>
    </row>
    <row r="971" ht="15.75" customHeight="1">
      <c r="A971" s="83" t="s">
        <v>1115</v>
      </c>
    </row>
    <row r="972" ht="15.75" customHeight="1">
      <c r="A972" s="83" t="s">
        <v>1100</v>
      </c>
    </row>
    <row r="973" ht="15.75" customHeight="1">
      <c r="A973" s="83" t="s">
        <v>1101</v>
      </c>
    </row>
    <row r="974" ht="15.75" customHeight="1">
      <c r="A974" s="83" t="s">
        <v>1102</v>
      </c>
    </row>
    <row r="975" ht="15.75" customHeight="1">
      <c r="A975" s="83" t="s">
        <v>1116</v>
      </c>
    </row>
    <row r="976" ht="15.75" customHeight="1">
      <c r="A976" s="83" t="s">
        <v>1117</v>
      </c>
    </row>
    <row r="977" ht="15.75" customHeight="1">
      <c r="A977" s="83" t="s">
        <v>220</v>
      </c>
    </row>
    <row r="978" ht="15.75" customHeight="1">
      <c r="A978" s="83" t="s">
        <v>223</v>
      </c>
    </row>
    <row r="979" ht="15.75" customHeight="1"/>
    <row r="980" ht="15.75" customHeight="1">
      <c r="A980" s="83" t="s">
        <v>1118</v>
      </c>
    </row>
    <row r="981" ht="15.75" customHeight="1">
      <c r="A981" s="83" t="s">
        <v>490</v>
      </c>
    </row>
    <row r="982" ht="15.75" customHeight="1">
      <c r="A982" s="83" t="s">
        <v>882</v>
      </c>
    </row>
    <row r="983" ht="15.75" customHeight="1"/>
    <row r="984" ht="15.75" customHeight="1">
      <c r="A984" s="83" t="s">
        <v>1119</v>
      </c>
    </row>
    <row r="985" ht="15.75" customHeight="1"/>
    <row r="986" ht="15.75" customHeight="1">
      <c r="A986" s="83" t="s">
        <v>945</v>
      </c>
    </row>
    <row r="987" ht="15.75" customHeight="1">
      <c r="A987" s="83" t="s">
        <v>1062</v>
      </c>
    </row>
    <row r="988" ht="15.75" customHeight="1">
      <c r="A988" s="83" t="s">
        <v>1120</v>
      </c>
    </row>
    <row r="989" ht="15.75" customHeight="1"/>
    <row r="990" ht="15.75" customHeight="1">
      <c r="A990" s="83" t="s">
        <v>1121</v>
      </c>
    </row>
    <row r="991" ht="15.75" customHeight="1">
      <c r="A991" s="83" t="s">
        <v>1122</v>
      </c>
    </row>
    <row r="992" ht="15.75" customHeight="1">
      <c r="A992" s="83" t="s">
        <v>1123</v>
      </c>
    </row>
    <row r="993" ht="15.75" customHeight="1">
      <c r="A993" s="83" t="s">
        <v>1124</v>
      </c>
    </row>
    <row r="994" ht="15.75" customHeight="1">
      <c r="A994" s="83" t="s">
        <v>1125</v>
      </c>
    </row>
    <row r="995" ht="15.75" customHeight="1">
      <c r="A995" s="83" t="s">
        <v>1126</v>
      </c>
    </row>
    <row r="996" ht="15.75" customHeight="1">
      <c r="A996" s="83" t="s">
        <v>220</v>
      </c>
    </row>
    <row r="997" ht="15.75" customHeight="1">
      <c r="A997" s="83" t="s">
        <v>223</v>
      </c>
    </row>
    <row r="998" ht="15.75" customHeight="1"/>
    <row r="999" ht="15.75" customHeight="1">
      <c r="A999" s="83" t="s">
        <v>888</v>
      </c>
    </row>
    <row r="1000" ht="15.75" customHeight="1">
      <c r="A1000" s="83" t="s">
        <v>889</v>
      </c>
    </row>
    <row r="1001" ht="15.75" customHeight="1">
      <c r="A1001" s="83" t="s">
        <v>1061</v>
      </c>
    </row>
    <row r="1002" ht="15.75" customHeight="1">
      <c r="A1002" s="83" t="s">
        <v>1127</v>
      </c>
    </row>
    <row r="1003" ht="15.75" customHeight="1"/>
    <row r="1004" ht="15.75" customHeight="1">
      <c r="A1004" s="83" t="s">
        <v>1128</v>
      </c>
    </row>
    <row r="1005" ht="15.75" customHeight="1">
      <c r="A1005" s="83" t="s">
        <v>932</v>
      </c>
    </row>
    <row r="1006" ht="15.75" customHeight="1">
      <c r="A1006" s="83" t="s">
        <v>1129</v>
      </c>
    </row>
    <row r="1007" ht="15.75" customHeight="1">
      <c r="A1007" s="83" t="s">
        <v>1130</v>
      </c>
    </row>
    <row r="1008" ht="15.75" customHeight="1">
      <c r="A1008" s="83" t="s">
        <v>1131</v>
      </c>
    </row>
    <row r="1009" ht="15.75" customHeight="1">
      <c r="A1009" s="83" t="s">
        <v>223</v>
      </c>
    </row>
    <row r="1010" ht="15.75" customHeight="1">
      <c r="A1010" s="83" t="s">
        <v>223</v>
      </c>
    </row>
    <row r="1011" ht="15.75" customHeight="1"/>
    <row r="1012" ht="15.75" customHeight="1">
      <c r="A1012" s="83" t="s">
        <v>1132</v>
      </c>
    </row>
    <row r="1013" ht="15.75" customHeight="1">
      <c r="A1013" s="83" t="s">
        <v>223</v>
      </c>
    </row>
    <row r="1014" ht="15.75" customHeight="1"/>
    <row r="1015" ht="15.75" customHeight="1">
      <c r="A1015" s="83" t="s">
        <v>1133</v>
      </c>
    </row>
    <row r="1016" ht="15.75" customHeight="1">
      <c r="A1016" s="83" t="s">
        <v>1134</v>
      </c>
    </row>
    <row r="1017" ht="15.75" customHeight="1"/>
    <row r="1018" ht="15.75" customHeight="1">
      <c r="A1018" s="83" t="s">
        <v>1135</v>
      </c>
    </row>
    <row r="1019" ht="15.75" customHeight="1">
      <c r="A1019" s="83" t="s">
        <v>1136</v>
      </c>
    </row>
    <row r="1020" ht="15.75" customHeight="1">
      <c r="A1020" s="83" t="s">
        <v>1137</v>
      </c>
    </row>
    <row r="1021" ht="15.75" customHeight="1">
      <c r="A1021" s="83" t="s">
        <v>1138</v>
      </c>
    </row>
    <row r="1022" ht="15.75" customHeight="1">
      <c r="A1022" s="83" t="s">
        <v>1139</v>
      </c>
    </row>
    <row r="1023" ht="15.75" customHeight="1">
      <c r="A1023" s="83" t="s">
        <v>1140</v>
      </c>
    </row>
    <row r="1024" ht="15.75" customHeight="1">
      <c r="A1024" s="83" t="s">
        <v>1141</v>
      </c>
    </row>
    <row r="1025" ht="15.75" customHeight="1">
      <c r="A1025" s="83" t="s">
        <v>1142</v>
      </c>
    </row>
    <row r="1026" ht="15.75" customHeight="1">
      <c r="A1026" s="83" t="s">
        <v>1143</v>
      </c>
    </row>
    <row r="1027" ht="15.75" customHeight="1">
      <c r="A1027" s="83" t="s">
        <v>1144</v>
      </c>
    </row>
    <row r="1028" ht="15.75" customHeight="1">
      <c r="A1028" s="83" t="s">
        <v>1145</v>
      </c>
    </row>
    <row r="1029" ht="15.75" customHeight="1">
      <c r="A1029" s="83" t="s">
        <v>1146</v>
      </c>
    </row>
    <row r="1030" ht="15.75" customHeight="1">
      <c r="A1030" s="83" t="s">
        <v>1147</v>
      </c>
    </row>
    <row r="1031" ht="15.75" customHeight="1">
      <c r="A1031" s="83" t="s">
        <v>1148</v>
      </c>
    </row>
    <row r="1032" ht="15.75" customHeight="1">
      <c r="A1032" s="83" t="s">
        <v>1149</v>
      </c>
    </row>
    <row r="1033" ht="15.75" customHeight="1">
      <c r="A1033" s="83" t="s">
        <v>1150</v>
      </c>
    </row>
    <row r="1034" ht="15.75" customHeight="1">
      <c r="A1034" s="83" t="s">
        <v>1151</v>
      </c>
    </row>
    <row r="1035" ht="15.75" customHeight="1">
      <c r="A1035" s="83" t="s">
        <v>223</v>
      </c>
    </row>
    <row r="1036" ht="15.75" customHeight="1">
      <c r="A1036" s="83" t="s">
        <v>1152</v>
      </c>
    </row>
    <row r="1037" ht="15.75" customHeight="1">
      <c r="A1037" s="83" t="s">
        <v>1153</v>
      </c>
    </row>
    <row r="1038" ht="15.75" customHeight="1">
      <c r="A1038" s="83" t="s">
        <v>1154</v>
      </c>
    </row>
    <row r="1039" ht="15.75" customHeight="1">
      <c r="A1039" s="83" t="s">
        <v>1145</v>
      </c>
    </row>
    <row r="1040" ht="15.75" customHeight="1">
      <c r="A1040" s="83" t="s">
        <v>1146</v>
      </c>
    </row>
    <row r="1041" ht="15.75" customHeight="1">
      <c r="A1041" s="83" t="s">
        <v>1147</v>
      </c>
    </row>
    <row r="1042" ht="15.75" customHeight="1">
      <c r="A1042" s="83" t="s">
        <v>1148</v>
      </c>
    </row>
    <row r="1043" ht="15.75" customHeight="1">
      <c r="A1043" s="83" t="s">
        <v>1155</v>
      </c>
    </row>
    <row r="1044" ht="15.75" customHeight="1">
      <c r="A1044" s="83" t="s">
        <v>1156</v>
      </c>
    </row>
    <row r="1045" ht="15.75" customHeight="1">
      <c r="A1045" s="83" t="s">
        <v>1157</v>
      </c>
    </row>
    <row r="1046" ht="15.75" customHeight="1">
      <c r="A1046" s="83" t="s">
        <v>1158</v>
      </c>
    </row>
    <row r="1047" ht="15.75" customHeight="1">
      <c r="A1047" s="83" t="s">
        <v>223</v>
      </c>
    </row>
    <row r="1048" ht="15.75" customHeight="1">
      <c r="A1048" s="83" t="s">
        <v>1152</v>
      </c>
    </row>
    <row r="1049" ht="15.75" customHeight="1">
      <c r="A1049" s="83" t="s">
        <v>824</v>
      </c>
    </row>
    <row r="1050" ht="15.75" customHeight="1">
      <c r="A1050" s="83" t="s">
        <v>1159</v>
      </c>
    </row>
    <row r="1051" ht="15.75" customHeight="1">
      <c r="A1051" s="83" t="s">
        <v>1160</v>
      </c>
    </row>
    <row r="1052" ht="15.75" customHeight="1">
      <c r="A1052" s="83" t="s">
        <v>1161</v>
      </c>
    </row>
    <row r="1053" ht="15.75" customHeight="1">
      <c r="A1053" s="83" t="s">
        <v>1162</v>
      </c>
    </row>
    <row r="1054" ht="15.75" customHeight="1">
      <c r="A1054" s="83" t="s">
        <v>223</v>
      </c>
    </row>
    <row r="1055" ht="15.75" customHeight="1">
      <c r="A1055" s="83" t="s">
        <v>1163</v>
      </c>
    </row>
    <row r="1056" ht="15.75" customHeight="1">
      <c r="A1056" s="83" t="s">
        <v>223</v>
      </c>
    </row>
    <row r="1057" ht="15.75" customHeight="1"/>
    <row r="1058" ht="15.75" customHeight="1">
      <c r="A1058" s="83" t="s">
        <v>1164</v>
      </c>
    </row>
    <row r="1059" ht="15.75" customHeight="1"/>
    <row r="1060" ht="15.75" customHeight="1">
      <c r="A1060" s="83" t="s">
        <v>1165</v>
      </c>
    </row>
    <row r="1061" ht="15.75" customHeight="1">
      <c r="A1061" s="83" t="s">
        <v>1166</v>
      </c>
    </row>
    <row r="1062" ht="15.75" customHeight="1">
      <c r="A1062" s="83" t="s">
        <v>223</v>
      </c>
    </row>
    <row r="1063" ht="15.75" customHeight="1"/>
    <row r="1064" ht="15.75" customHeight="1">
      <c r="A1064" s="83" t="s">
        <v>1167</v>
      </c>
    </row>
    <row r="1065" ht="15.75" customHeight="1">
      <c r="A1065" s="83" t="s">
        <v>1168</v>
      </c>
    </row>
    <row r="1066" ht="15.75" customHeight="1">
      <c r="A1066" s="83" t="s">
        <v>479</v>
      </c>
    </row>
    <row r="1067" ht="15.75" customHeight="1">
      <c r="A1067" s="83" t="s">
        <v>458</v>
      </c>
    </row>
    <row r="1068" ht="15.75" customHeight="1">
      <c r="A1068" s="83" t="s">
        <v>1036</v>
      </c>
    </row>
    <row r="1069" ht="15.75" customHeight="1">
      <c r="A1069" s="83" t="s">
        <v>1037</v>
      </c>
    </row>
    <row r="1070" ht="15.75" customHeight="1">
      <c r="A1070" s="83" t="s">
        <v>494</v>
      </c>
    </row>
    <row r="1071" ht="15.75" customHeight="1">
      <c r="A1071" s="83" t="s">
        <v>223</v>
      </c>
    </row>
    <row r="1072" ht="15.75" customHeight="1"/>
    <row r="1073" ht="15.75" customHeight="1">
      <c r="A1073" s="83" t="s">
        <v>1169</v>
      </c>
    </row>
    <row r="1074" ht="15.75" customHeight="1">
      <c r="A1074" s="83" t="s">
        <v>1170</v>
      </c>
    </row>
    <row r="1075" ht="15.75" customHeight="1">
      <c r="A1075" s="83" t="s">
        <v>528</v>
      </c>
    </row>
    <row r="1076" ht="15.75" customHeight="1">
      <c r="A1076" s="83" t="s">
        <v>1171</v>
      </c>
    </row>
    <row r="1077" ht="15.75" customHeight="1">
      <c r="A1077" s="83" t="s">
        <v>550</v>
      </c>
    </row>
    <row r="1078" ht="15.75" customHeight="1">
      <c r="A1078" s="83" t="s">
        <v>223</v>
      </c>
    </row>
    <row r="1079" ht="15.75" customHeight="1">
      <c r="A1079" s="83" t="s">
        <v>223</v>
      </c>
    </row>
    <row r="1080" ht="15.75" customHeight="1"/>
    <row r="1081" ht="15.75" customHeight="1">
      <c r="A1081" s="83" t="s">
        <v>1172</v>
      </c>
    </row>
    <row r="1082" ht="15.75" customHeight="1">
      <c r="A1082" s="83" t="s">
        <v>479</v>
      </c>
    </row>
    <row r="1083" ht="15.75" customHeight="1">
      <c r="A1083" s="83" t="s">
        <v>458</v>
      </c>
    </row>
    <row r="1084" ht="15.75" customHeight="1">
      <c r="A1084" s="83" t="s">
        <v>1036</v>
      </c>
    </row>
    <row r="1085" ht="15.75" customHeight="1">
      <c r="A1085" s="83" t="s">
        <v>1037</v>
      </c>
    </row>
    <row r="1086" ht="15.75" customHeight="1">
      <c r="A1086" s="83" t="s">
        <v>494</v>
      </c>
    </row>
    <row r="1087" ht="15.75" customHeight="1">
      <c r="A1087" s="83" t="s">
        <v>223</v>
      </c>
    </row>
    <row r="1088" ht="15.75" customHeight="1"/>
    <row r="1089" ht="15.75" customHeight="1">
      <c r="A1089" s="83" t="s">
        <v>1173</v>
      </c>
    </row>
    <row r="1090" ht="15.75" customHeight="1">
      <c r="A1090" s="83" t="s">
        <v>1174</v>
      </c>
    </row>
    <row r="1091" ht="15.75" customHeight="1">
      <c r="A1091" s="83" t="s">
        <v>1175</v>
      </c>
    </row>
    <row r="1092" ht="15.75" customHeight="1">
      <c r="A1092" s="83" t="s">
        <v>528</v>
      </c>
    </row>
    <row r="1093" ht="15.75" customHeight="1">
      <c r="A1093" s="83" t="s">
        <v>1176</v>
      </c>
    </row>
    <row r="1094" ht="15.75" customHeight="1">
      <c r="A1094" s="83" t="s">
        <v>550</v>
      </c>
    </row>
    <row r="1095" ht="15.75" customHeight="1">
      <c r="A1095" s="83" t="s">
        <v>223</v>
      </c>
    </row>
    <row r="1096" ht="15.75" customHeight="1">
      <c r="A1096" s="83" t="s">
        <v>223</v>
      </c>
    </row>
    <row r="1097" ht="15.75" customHeight="1"/>
    <row r="1098" ht="15.75" customHeight="1">
      <c r="A1098" s="83" t="s">
        <v>1177</v>
      </c>
    </row>
    <row r="1099" ht="15.75" customHeight="1">
      <c r="A1099" s="83" t="s">
        <v>479</v>
      </c>
    </row>
    <row r="1100" ht="15.75" customHeight="1">
      <c r="A1100" s="83" t="s">
        <v>458</v>
      </c>
    </row>
    <row r="1101" ht="15.75" customHeight="1">
      <c r="A1101" s="83" t="s">
        <v>1036</v>
      </c>
    </row>
    <row r="1102" ht="15.75" customHeight="1">
      <c r="A1102" s="83" t="s">
        <v>1037</v>
      </c>
    </row>
    <row r="1103" ht="15.75" customHeight="1">
      <c r="A1103" s="83" t="s">
        <v>494</v>
      </c>
    </row>
    <row r="1104" ht="15.75" customHeight="1">
      <c r="A1104" s="83" t="s">
        <v>223</v>
      </c>
    </row>
    <row r="1105" ht="15.75" customHeight="1"/>
    <row r="1106" ht="15.75" customHeight="1">
      <c r="A1106" s="83" t="s">
        <v>1173</v>
      </c>
    </row>
    <row r="1107" ht="15.75" customHeight="1">
      <c r="A1107" s="83" t="s">
        <v>1178</v>
      </c>
    </row>
    <row r="1108" ht="15.75" customHeight="1">
      <c r="A1108" s="83" t="s">
        <v>1179</v>
      </c>
    </row>
    <row r="1109" ht="15.75" customHeight="1">
      <c r="A1109" s="83" t="s">
        <v>528</v>
      </c>
    </row>
    <row r="1110" ht="15.75" customHeight="1">
      <c r="A1110" s="83" t="s">
        <v>1180</v>
      </c>
    </row>
    <row r="1111" ht="15.75" customHeight="1">
      <c r="A1111" s="83" t="s">
        <v>550</v>
      </c>
    </row>
    <row r="1112" ht="15.75" customHeight="1">
      <c r="A1112" s="83" t="s">
        <v>223</v>
      </c>
    </row>
    <row r="1113" ht="15.75" customHeight="1">
      <c r="A1113" s="83" t="s">
        <v>223</v>
      </c>
    </row>
    <row r="1114" ht="15.75" customHeight="1"/>
    <row r="1115" ht="15.75" customHeight="1">
      <c r="A1115" s="83" t="s">
        <v>1181</v>
      </c>
    </row>
    <row r="1116" ht="15.75" customHeight="1">
      <c r="A1116" s="83" t="s">
        <v>479</v>
      </c>
    </row>
    <row r="1117" ht="15.75" customHeight="1">
      <c r="A1117" s="83" t="s">
        <v>458</v>
      </c>
    </row>
    <row r="1118" ht="15.75" customHeight="1">
      <c r="A1118" s="83" t="s">
        <v>1036</v>
      </c>
    </row>
    <row r="1119" ht="15.75" customHeight="1">
      <c r="A1119" s="83" t="s">
        <v>1037</v>
      </c>
    </row>
    <row r="1120" ht="15.75" customHeight="1">
      <c r="A1120" s="83" t="s">
        <v>494</v>
      </c>
    </row>
    <row r="1121" ht="15.75" customHeight="1">
      <c r="A1121" s="83" t="s">
        <v>223</v>
      </c>
    </row>
    <row r="1122" ht="15.75" customHeight="1"/>
    <row r="1123" ht="15.75" customHeight="1">
      <c r="A1123" s="83" t="s">
        <v>1182</v>
      </c>
    </row>
    <row r="1124" ht="15.75" customHeight="1">
      <c r="A1124" s="83" t="s">
        <v>1799</v>
      </c>
    </row>
    <row r="1125" ht="15.75" customHeight="1">
      <c r="A1125" s="83" t="s">
        <v>528</v>
      </c>
    </row>
    <row r="1126" ht="15.75" customHeight="1">
      <c r="A1126" s="83" t="s">
        <v>1184</v>
      </c>
    </row>
    <row r="1127" ht="15.75" customHeight="1">
      <c r="A1127" s="83" t="s">
        <v>550</v>
      </c>
    </row>
    <row r="1128" ht="15.75" customHeight="1">
      <c r="A1128" s="83" t="s">
        <v>223</v>
      </c>
    </row>
    <row r="1129" ht="15.75" customHeight="1">
      <c r="A1129" s="83" t="s">
        <v>223</v>
      </c>
    </row>
    <row r="1130" ht="15.75" customHeight="1"/>
    <row r="1131" ht="15.75" customHeight="1">
      <c r="A1131" s="83" t="s">
        <v>1185</v>
      </c>
    </row>
    <row r="1132" ht="15.75" customHeight="1">
      <c r="A1132" s="83" t="s">
        <v>490</v>
      </c>
    </row>
    <row r="1133" ht="15.75" customHeight="1">
      <c r="A1133" s="83" t="s">
        <v>882</v>
      </c>
    </row>
    <row r="1134" ht="15.75" customHeight="1">
      <c r="A1134" s="83" t="s">
        <v>1186</v>
      </c>
    </row>
    <row r="1135" ht="15.75" customHeight="1"/>
    <row r="1136" ht="15.75" customHeight="1">
      <c r="A1136" s="83" t="s">
        <v>945</v>
      </c>
    </row>
    <row r="1137" ht="15.75" customHeight="1">
      <c r="A1137" s="83" t="s">
        <v>1062</v>
      </c>
    </row>
    <row r="1138" ht="15.75" customHeight="1">
      <c r="A1138" s="83" t="s">
        <v>1120</v>
      </c>
    </row>
    <row r="1139" ht="15.75" customHeight="1"/>
    <row r="1140" ht="15.75" customHeight="1">
      <c r="A1140" s="83" t="s">
        <v>1187</v>
      </c>
    </row>
    <row r="1141" ht="15.75" customHeight="1">
      <c r="A1141" s="83" t="s">
        <v>1188</v>
      </c>
    </row>
    <row r="1142" ht="15.75" customHeight="1">
      <c r="A1142" s="83" t="s">
        <v>223</v>
      </c>
    </row>
    <row r="1143" ht="15.75" customHeight="1"/>
    <row r="1144" ht="15.75" customHeight="1">
      <c r="A1144" s="83" t="s">
        <v>888</v>
      </c>
    </row>
    <row r="1145" ht="15.75" customHeight="1">
      <c r="A1145" s="83" t="s">
        <v>889</v>
      </c>
    </row>
    <row r="1146" ht="15.75" customHeight="1">
      <c r="A1146" s="83" t="s">
        <v>1189</v>
      </c>
    </row>
    <row r="1147" ht="15.75" customHeight="1">
      <c r="A1147" s="83" t="s">
        <v>1190</v>
      </c>
    </row>
    <row r="1148" ht="15.75" customHeight="1">
      <c r="A1148" s="83" t="s">
        <v>1191</v>
      </c>
    </row>
    <row r="1149" ht="15.75" customHeight="1">
      <c r="A1149" s="83" t="s">
        <v>1192</v>
      </c>
    </row>
    <row r="1150" ht="15.75" customHeight="1"/>
    <row r="1151" ht="15.75" customHeight="1">
      <c r="A1151" s="83" t="s">
        <v>891</v>
      </c>
    </row>
    <row r="1152" ht="15.75" customHeight="1">
      <c r="A1152" s="83" t="s">
        <v>1193</v>
      </c>
    </row>
    <row r="1153" ht="15.75" customHeight="1">
      <c r="A1153" s="83" t="s">
        <v>1194</v>
      </c>
    </row>
    <row r="1154" ht="15.75" customHeight="1">
      <c r="A1154" s="83" t="s">
        <v>1195</v>
      </c>
    </row>
    <row r="1155" ht="15.75" customHeight="1">
      <c r="A1155" s="83" t="s">
        <v>1196</v>
      </c>
    </row>
    <row r="1156" ht="15.75" customHeight="1">
      <c r="A1156" s="83" t="s">
        <v>1197</v>
      </c>
    </row>
    <row r="1157" ht="15.75" customHeight="1">
      <c r="A1157" s="83" t="s">
        <v>1194</v>
      </c>
    </row>
    <row r="1158" ht="15.75" customHeight="1">
      <c r="A1158" s="83" t="s">
        <v>1198</v>
      </c>
    </row>
    <row r="1159" ht="15.75" customHeight="1">
      <c r="A1159" s="83" t="s">
        <v>1199</v>
      </c>
    </row>
    <row r="1160" ht="15.75" customHeight="1">
      <c r="A1160" s="83" t="s">
        <v>1200</v>
      </c>
    </row>
    <row r="1161" ht="15.75" customHeight="1">
      <c r="A1161" s="83" t="s">
        <v>223</v>
      </c>
    </row>
    <row r="1162" ht="15.75" customHeight="1">
      <c r="A1162" s="83" t="s">
        <v>223</v>
      </c>
    </row>
    <row r="1163" ht="15.75" customHeight="1"/>
    <row r="1164" ht="15.75" customHeight="1">
      <c r="A1164" s="83" t="s">
        <v>1201</v>
      </c>
    </row>
    <row r="1165" ht="15.75" customHeight="1">
      <c r="A1165" s="83" t="s">
        <v>223</v>
      </c>
    </row>
    <row r="1166" ht="15.75" customHeight="1"/>
    <row r="1167" ht="15.75" customHeight="1">
      <c r="A1167" s="83" t="s">
        <v>1202</v>
      </c>
    </row>
    <row r="1168" ht="15.75" customHeight="1">
      <c r="A1168" s="83" t="s">
        <v>490</v>
      </c>
    </row>
    <row r="1169" ht="15.75" customHeight="1">
      <c r="A1169" s="83" t="s">
        <v>882</v>
      </c>
    </row>
    <row r="1170" ht="15.75" customHeight="1">
      <c r="A1170" s="83" t="s">
        <v>1203</v>
      </c>
    </row>
    <row r="1171" ht="15.75" customHeight="1"/>
    <row r="1172" ht="15.75" customHeight="1">
      <c r="A1172" s="83" t="s">
        <v>945</v>
      </c>
    </row>
    <row r="1173" ht="15.75" customHeight="1">
      <c r="A1173" s="83" t="s">
        <v>1060</v>
      </c>
    </row>
    <row r="1174" ht="15.75" customHeight="1">
      <c r="A1174" s="83" t="s">
        <v>888</v>
      </c>
    </row>
    <row r="1175" ht="15.75" customHeight="1">
      <c r="A1175" s="83" t="s">
        <v>1190</v>
      </c>
    </row>
    <row r="1176" ht="15.75" customHeight="1"/>
    <row r="1177" ht="15.75" customHeight="1">
      <c r="A1177" s="83" t="s">
        <v>1204</v>
      </c>
    </row>
    <row r="1178" ht="15.75" customHeight="1">
      <c r="A1178" s="83" t="s">
        <v>1205</v>
      </c>
    </row>
    <row r="1179" ht="15.75" customHeight="1">
      <c r="A1179" s="83" t="s">
        <v>1206</v>
      </c>
    </row>
    <row r="1180" ht="15.75" customHeight="1">
      <c r="A1180" s="83" t="s">
        <v>1207</v>
      </c>
    </row>
    <row r="1181" ht="15.75" customHeight="1">
      <c r="A1181" s="83" t="s">
        <v>1208</v>
      </c>
    </row>
    <row r="1182" ht="15.75" customHeight="1">
      <c r="A1182" s="83" t="s">
        <v>662</v>
      </c>
    </row>
    <row r="1183" ht="15.75" customHeight="1">
      <c r="A1183" s="83" t="s">
        <v>223</v>
      </c>
    </row>
    <row r="1184" ht="15.75" customHeight="1">
      <c r="A1184" s="83" t="s">
        <v>223</v>
      </c>
    </row>
    <row r="1185" ht="15.75" customHeight="1"/>
    <row r="1186" ht="15.75" customHeight="1">
      <c r="A1186" s="83" t="s">
        <v>1209</v>
      </c>
    </row>
    <row r="1187" ht="15.75" customHeight="1">
      <c r="A1187" s="83" t="s">
        <v>223</v>
      </c>
    </row>
    <row r="1188" ht="15.75" customHeight="1"/>
    <row r="1189" ht="15.75" customHeight="1">
      <c r="A1189" s="83" t="s">
        <v>1210</v>
      </c>
    </row>
    <row r="1190" ht="15.75" customHeight="1">
      <c r="A1190" s="83" t="s">
        <v>490</v>
      </c>
    </row>
    <row r="1191" ht="15.75" customHeight="1">
      <c r="A1191" s="83" t="s">
        <v>882</v>
      </c>
    </row>
    <row r="1192" ht="15.75" customHeight="1">
      <c r="A1192" s="83" t="s">
        <v>1211</v>
      </c>
    </row>
    <row r="1193" ht="15.75" customHeight="1"/>
    <row r="1194" ht="15.75" customHeight="1">
      <c r="A1194" s="83" t="s">
        <v>945</v>
      </c>
    </row>
    <row r="1195" ht="15.75" customHeight="1">
      <c r="A1195" s="83" t="s">
        <v>1060</v>
      </c>
    </row>
    <row r="1196" ht="15.75" customHeight="1">
      <c r="A1196" s="83" t="s">
        <v>889</v>
      </c>
    </row>
    <row r="1197" ht="15.75" customHeight="1">
      <c r="A1197" s="83" t="s">
        <v>1191</v>
      </c>
    </row>
    <row r="1198" ht="15.75" customHeight="1"/>
    <row r="1199" ht="15.75" customHeight="1">
      <c r="A1199" s="83" t="s">
        <v>1212</v>
      </c>
    </row>
    <row r="1200" ht="15.75" customHeight="1">
      <c r="A1200" s="83" t="s">
        <v>1213</v>
      </c>
    </row>
    <row r="1201" ht="15.75" customHeight="1">
      <c r="A1201" s="83" t="s">
        <v>1206</v>
      </c>
    </row>
    <row r="1202" ht="15.75" customHeight="1">
      <c r="A1202" s="83" t="s">
        <v>1207</v>
      </c>
    </row>
    <row r="1203" ht="15.75" customHeight="1">
      <c r="A1203" s="83" t="s">
        <v>1214</v>
      </c>
    </row>
    <row r="1204" ht="15.75" customHeight="1">
      <c r="A1204" s="83" t="s">
        <v>1215</v>
      </c>
    </row>
    <row r="1205" ht="15.75" customHeight="1">
      <c r="A1205" s="83" t="s">
        <v>662</v>
      </c>
    </row>
    <row r="1206" ht="15.75" customHeight="1">
      <c r="A1206" s="83" t="s">
        <v>223</v>
      </c>
    </row>
    <row r="1207" ht="15.75" customHeight="1">
      <c r="A1207" s="83" t="s">
        <v>223</v>
      </c>
    </row>
    <row r="1208" ht="15.75" customHeight="1"/>
    <row r="1209" ht="15.75" customHeight="1">
      <c r="A1209" s="83" t="s">
        <v>1216</v>
      </c>
    </row>
    <row r="1210" ht="15.75" customHeight="1">
      <c r="A1210" s="83" t="s">
        <v>223</v>
      </c>
    </row>
    <row r="1211" ht="15.75" customHeight="1"/>
    <row r="1212" ht="15.75" customHeight="1">
      <c r="A1212" s="83" t="s">
        <v>1217</v>
      </c>
    </row>
    <row r="1213" ht="15.75" customHeight="1">
      <c r="A1213" s="83" t="s">
        <v>490</v>
      </c>
    </row>
    <row r="1214" ht="15.75" customHeight="1">
      <c r="A1214" s="83" t="s">
        <v>882</v>
      </c>
    </row>
    <row r="1215" ht="15.75" customHeight="1">
      <c r="A1215" s="83" t="s">
        <v>1218</v>
      </c>
    </row>
    <row r="1216" ht="15.75" customHeight="1"/>
    <row r="1217" ht="15.75" customHeight="1">
      <c r="A1217" s="83" t="s">
        <v>945</v>
      </c>
    </row>
    <row r="1218" ht="15.75" customHeight="1">
      <c r="A1218" s="83" t="s">
        <v>889</v>
      </c>
    </row>
    <row r="1219" ht="15.75" customHeight="1">
      <c r="A1219" s="83" t="s">
        <v>1192</v>
      </c>
    </row>
    <row r="1220" ht="15.75" customHeight="1"/>
    <row r="1221" ht="15.75" customHeight="1">
      <c r="A1221" s="83" t="s">
        <v>1219</v>
      </c>
    </row>
    <row r="1222" ht="15.75" customHeight="1">
      <c r="A1222" s="83" t="s">
        <v>1220</v>
      </c>
    </row>
    <row r="1223" ht="15.75" customHeight="1">
      <c r="A1223" s="83" t="s">
        <v>1206</v>
      </c>
    </row>
    <row r="1224" ht="15.75" customHeight="1">
      <c r="A1224" s="83" t="s">
        <v>1207</v>
      </c>
    </row>
    <row r="1225" ht="15.75" customHeight="1">
      <c r="A1225" s="83" t="s">
        <v>1221</v>
      </c>
    </row>
    <row r="1226" ht="15.75" customHeight="1">
      <c r="A1226" s="83" t="s">
        <v>662</v>
      </c>
    </row>
    <row r="1227" ht="15.75" customHeight="1">
      <c r="A1227" s="83" t="s">
        <v>223</v>
      </c>
    </row>
    <row r="1228" ht="15.75" customHeight="1">
      <c r="A1228" s="83" t="s">
        <v>223</v>
      </c>
    </row>
    <row r="1229" ht="15.75" customHeight="1"/>
    <row r="1230" ht="15.75" customHeight="1">
      <c r="A1230" s="83" t="s">
        <v>1222</v>
      </c>
    </row>
    <row r="1231" ht="15.75" customHeight="1">
      <c r="A1231" s="83" t="s">
        <v>223</v>
      </c>
    </row>
    <row r="1232" ht="15.75" customHeight="1"/>
    <row r="1233" ht="15.75" customHeight="1">
      <c r="A1233" s="83" t="s">
        <v>1223</v>
      </c>
    </row>
    <row r="1234" ht="15.75" customHeight="1">
      <c r="A1234" s="83" t="s">
        <v>1224</v>
      </c>
    </row>
    <row r="1235" ht="15.75" customHeight="1">
      <c r="A1235" s="83" t="s">
        <v>1225</v>
      </c>
    </row>
    <row r="1236" ht="15.75" customHeight="1"/>
    <row r="1237" ht="15.75" customHeight="1">
      <c r="A1237" s="83" t="s">
        <v>1226</v>
      </c>
    </row>
    <row r="1238" ht="15.75" customHeight="1">
      <c r="A1238" s="83" t="s">
        <v>1227</v>
      </c>
    </row>
    <row r="1239" ht="15.75" customHeight="1">
      <c r="A1239" s="83" t="s">
        <v>1228</v>
      </c>
    </row>
    <row r="1240" ht="15.75" customHeight="1">
      <c r="A1240" s="83" t="s">
        <v>1229</v>
      </c>
    </row>
    <row r="1241" ht="15.75" customHeight="1">
      <c r="A1241" s="83" t="s">
        <v>223</v>
      </c>
    </row>
    <row r="1242" ht="15.75" customHeight="1"/>
    <row r="1243" ht="15.75" customHeight="1">
      <c r="A1243" s="83" t="s">
        <v>1230</v>
      </c>
    </row>
    <row r="1244" ht="15.75" customHeight="1"/>
    <row r="1245" ht="15.75" customHeight="1">
      <c r="A1245" s="83" t="s">
        <v>1231</v>
      </c>
    </row>
    <row r="1246" ht="15.75" customHeight="1">
      <c r="A1246" s="83" t="s">
        <v>1232</v>
      </c>
    </row>
    <row r="1247" ht="15.75" customHeight="1">
      <c r="A1247" s="83" t="s">
        <v>223</v>
      </c>
    </row>
    <row r="1248" ht="15.75" customHeight="1"/>
    <row r="1249" ht="15.75" customHeight="1">
      <c r="A1249" s="83" t="s">
        <v>1233</v>
      </c>
    </row>
    <row r="1250" ht="15.75" customHeight="1">
      <c r="A1250" s="83" t="s">
        <v>1134</v>
      </c>
    </row>
    <row r="1251" ht="15.75" customHeight="1"/>
    <row r="1252" ht="15.75" customHeight="1">
      <c r="A1252" s="83" t="s">
        <v>1234</v>
      </c>
    </row>
    <row r="1253" ht="15.75" customHeight="1">
      <c r="A1253" s="83" t="s">
        <v>1235</v>
      </c>
    </row>
    <row r="1254" ht="15.75" customHeight="1">
      <c r="A1254" s="83" t="s">
        <v>824</v>
      </c>
    </row>
    <row r="1255" ht="15.75" customHeight="1">
      <c r="A1255" s="83" t="s">
        <v>1236</v>
      </c>
    </row>
    <row r="1256" ht="15.75" customHeight="1"/>
    <row r="1257" ht="15.75" customHeight="1">
      <c r="A1257" s="83" t="s">
        <v>1237</v>
      </c>
    </row>
    <row r="1258" ht="15.75" customHeight="1">
      <c r="A1258" s="83" t="s">
        <v>1238</v>
      </c>
    </row>
    <row r="1259" ht="15.75" customHeight="1">
      <c r="A1259" s="83" t="s">
        <v>1239</v>
      </c>
    </row>
    <row r="1260" ht="15.75" customHeight="1">
      <c r="A1260" s="83" t="s">
        <v>1240</v>
      </c>
    </row>
    <row r="1261" ht="15.75" customHeight="1">
      <c r="A1261" s="83" t="s">
        <v>1241</v>
      </c>
    </row>
    <row r="1262" ht="15.75" customHeight="1">
      <c r="A1262" s="83" t="s">
        <v>223</v>
      </c>
    </row>
    <row r="1263" ht="15.75" customHeight="1">
      <c r="A1263" s="83" t="s">
        <v>1242</v>
      </c>
    </row>
    <row r="1264" ht="15.75" customHeight="1"/>
    <row r="1265" ht="15.75" customHeight="1">
      <c r="A1265" s="83" t="s">
        <v>1243</v>
      </c>
    </row>
    <row r="1266" ht="15.75" customHeight="1">
      <c r="A1266" s="83" t="s">
        <v>1239</v>
      </c>
    </row>
    <row r="1267" ht="15.75" customHeight="1">
      <c r="A1267" s="83" t="s">
        <v>1240</v>
      </c>
    </row>
    <row r="1268" ht="15.75" customHeight="1">
      <c r="A1268" s="83" t="s">
        <v>1244</v>
      </c>
    </row>
    <row r="1269" ht="15.75" customHeight="1">
      <c r="A1269" s="83" t="s">
        <v>1245</v>
      </c>
    </row>
    <row r="1270" ht="15.75" customHeight="1">
      <c r="A1270" s="83" t="s">
        <v>223</v>
      </c>
    </row>
    <row r="1271" ht="15.75" customHeight="1">
      <c r="A1271" s="83" t="s">
        <v>1242</v>
      </c>
    </row>
    <row r="1272" ht="15.75" customHeight="1">
      <c r="A1272" s="83" t="s">
        <v>223</v>
      </c>
    </row>
    <row r="1273" ht="15.75" customHeight="1"/>
    <row r="1274" ht="15.75" customHeight="1">
      <c r="A1274" s="83" t="s">
        <v>1163</v>
      </c>
    </row>
    <row r="1275" ht="15.75" customHeight="1">
      <c r="A1275" s="83" t="s">
        <v>223</v>
      </c>
    </row>
    <row r="1276" ht="15.75" customHeight="1"/>
    <row r="1277" ht="15.75" customHeight="1">
      <c r="A1277" s="83" t="s">
        <v>1164</v>
      </c>
    </row>
    <row r="1278" ht="15.75" customHeight="1"/>
    <row r="1279" ht="15.75" customHeight="1">
      <c r="A1279" s="83" t="s">
        <v>1231</v>
      </c>
    </row>
    <row r="1280" ht="15.75" customHeight="1">
      <c r="A1280" s="83" t="s">
        <v>1166</v>
      </c>
    </row>
    <row r="1281" ht="15.75" customHeight="1">
      <c r="A1281" s="83" t="s">
        <v>223</v>
      </c>
    </row>
    <row r="1282" ht="15.75" customHeight="1"/>
    <row r="1283" ht="15.75" customHeight="1">
      <c r="A1283" s="83" t="s">
        <v>1246</v>
      </c>
    </row>
    <row r="1284" ht="15.75" customHeight="1">
      <c r="A1284" s="83" t="s">
        <v>1247</v>
      </c>
    </row>
    <row r="1285" ht="15.75" customHeight="1">
      <c r="A1285" s="83" t="s">
        <v>479</v>
      </c>
    </row>
    <row r="1286" ht="15.75" customHeight="1">
      <c r="A1286" s="83" t="s">
        <v>429</v>
      </c>
    </row>
    <row r="1287" ht="15.75" customHeight="1">
      <c r="A1287" s="83" t="s">
        <v>1248</v>
      </c>
    </row>
    <row r="1288" ht="15.75" customHeight="1"/>
    <row r="1289" ht="15.75" customHeight="1">
      <c r="A1289" s="83" t="s">
        <v>1249</v>
      </c>
    </row>
    <row r="1290" ht="15.75" customHeight="1"/>
    <row r="1291" ht="15.75" customHeight="1">
      <c r="A1291" s="83" t="s">
        <v>1250</v>
      </c>
    </row>
    <row r="1292" ht="15.75" customHeight="1">
      <c r="A1292" s="83" t="s">
        <v>1251</v>
      </c>
    </row>
    <row r="1293" ht="15.75" customHeight="1">
      <c r="A1293" s="83" t="s">
        <v>1252</v>
      </c>
    </row>
    <row r="1294" ht="15.75" customHeight="1">
      <c r="A1294" s="83" t="s">
        <v>494</v>
      </c>
    </row>
    <row r="1295" ht="15.75" customHeight="1">
      <c r="A1295" s="83" t="s">
        <v>223</v>
      </c>
    </row>
    <row r="1296" ht="15.75" customHeight="1"/>
    <row r="1297" ht="15.75" customHeight="1">
      <c r="A1297" s="83" t="s">
        <v>458</v>
      </c>
    </row>
    <row r="1298" ht="15.75" customHeight="1">
      <c r="A1298" s="83" t="s">
        <v>1036</v>
      </c>
    </row>
    <row r="1299" ht="15.75" customHeight="1">
      <c r="A1299" s="83" t="s">
        <v>1253</v>
      </c>
    </row>
    <row r="1300" ht="15.75" customHeight="1">
      <c r="A1300" s="83" t="s">
        <v>494</v>
      </c>
    </row>
    <row r="1301" ht="15.75" customHeight="1">
      <c r="A1301" s="83" t="s">
        <v>223</v>
      </c>
    </row>
    <row r="1302" ht="15.75" customHeight="1"/>
    <row r="1303" ht="15.75" customHeight="1">
      <c r="A1303" s="83" t="s">
        <v>1254</v>
      </c>
    </row>
    <row r="1304" ht="15.75" customHeight="1">
      <c r="A1304" s="83" t="s">
        <v>1255</v>
      </c>
    </row>
    <row r="1305" ht="15.75" customHeight="1">
      <c r="A1305" s="83" t="s">
        <v>528</v>
      </c>
    </row>
    <row r="1306" ht="15.75" customHeight="1">
      <c r="A1306" s="83" t="s">
        <v>1256</v>
      </c>
    </row>
    <row r="1307" ht="15.75" customHeight="1">
      <c r="A1307" s="83" t="s">
        <v>550</v>
      </c>
    </row>
    <row r="1308" ht="15.75" customHeight="1">
      <c r="A1308" s="83" t="s">
        <v>223</v>
      </c>
    </row>
    <row r="1309" ht="15.75" customHeight="1">
      <c r="A1309" s="83" t="s">
        <v>223</v>
      </c>
    </row>
    <row r="1310" ht="15.75" customHeight="1"/>
    <row r="1311" ht="15.75" customHeight="1">
      <c r="A1311" s="83" t="s">
        <v>1257</v>
      </c>
    </row>
    <row r="1312" ht="15.75" customHeight="1">
      <c r="A1312" s="83" t="s">
        <v>490</v>
      </c>
    </row>
    <row r="1313" ht="15.75" customHeight="1">
      <c r="A1313" s="83" t="s">
        <v>882</v>
      </c>
    </row>
    <row r="1314" ht="15.75" customHeight="1">
      <c r="A1314" s="83" t="s">
        <v>1258</v>
      </c>
    </row>
    <row r="1315" ht="15.75" customHeight="1">
      <c r="A1315" s="83" t="s">
        <v>1259</v>
      </c>
    </row>
    <row r="1316" ht="15.75" customHeight="1"/>
    <row r="1317" ht="15.75" customHeight="1">
      <c r="A1317" s="83" t="s">
        <v>945</v>
      </c>
    </row>
    <row r="1318" ht="15.75" customHeight="1">
      <c r="A1318" s="83" t="s">
        <v>1260</v>
      </c>
    </row>
    <row r="1319" ht="15.75" customHeight="1">
      <c r="A1319" s="83" t="s">
        <v>1261</v>
      </c>
    </row>
    <row r="1320" ht="15.75" customHeight="1">
      <c r="A1320" s="83" t="s">
        <v>1262</v>
      </c>
    </row>
    <row r="1321" ht="15.75" customHeight="1">
      <c r="A1321" s="83" t="s">
        <v>1263</v>
      </c>
    </row>
    <row r="1322" ht="15.75" customHeight="1">
      <c r="A1322" s="83" t="s">
        <v>1206</v>
      </c>
    </row>
    <row r="1323" ht="15.75" customHeight="1">
      <c r="A1323" s="83" t="s">
        <v>1264</v>
      </c>
    </row>
    <row r="1324" ht="15.75" customHeight="1">
      <c r="A1324" s="83" t="s">
        <v>1265</v>
      </c>
    </row>
    <row r="1325" ht="15.75" customHeight="1">
      <c r="A1325" s="83" t="s">
        <v>1214</v>
      </c>
    </row>
    <row r="1326" ht="15.75" customHeight="1">
      <c r="A1326" s="83" t="s">
        <v>1266</v>
      </c>
    </row>
    <row r="1327" ht="15.75" customHeight="1">
      <c r="A1327" s="83" t="s">
        <v>1267</v>
      </c>
    </row>
    <row r="1328" ht="15.75" customHeight="1">
      <c r="A1328" s="83" t="s">
        <v>1268</v>
      </c>
    </row>
    <row r="1329" ht="15.75" customHeight="1">
      <c r="A1329" s="83" t="s">
        <v>662</v>
      </c>
    </row>
    <row r="1330" ht="15.75" customHeight="1">
      <c r="A1330" s="83" t="s">
        <v>223</v>
      </c>
    </row>
    <row r="1331" ht="15.75" customHeight="1">
      <c r="A1331" s="83" t="s">
        <v>223</v>
      </c>
    </row>
    <row r="1332" ht="15.75" customHeight="1"/>
    <row r="1333" ht="15.75" customHeight="1">
      <c r="A1333" s="83" t="s">
        <v>1269</v>
      </c>
    </row>
    <row r="1334" ht="15.75" customHeight="1">
      <c r="A1334" s="83" t="s">
        <v>223</v>
      </c>
    </row>
    <row r="1335" ht="15.75" customHeight="1"/>
    <row r="1336" ht="15.75" customHeight="1">
      <c r="A1336" s="83" t="s">
        <v>1270</v>
      </c>
    </row>
    <row r="1337" ht="15.75" customHeight="1">
      <c r="A1337" s="83" t="s">
        <v>1271</v>
      </c>
    </row>
    <row r="1338" ht="15.75" customHeight="1"/>
    <row r="1339" ht="15.75" customHeight="1">
      <c r="A1339" s="83" t="s">
        <v>1272</v>
      </c>
    </row>
    <row r="1340" ht="15.75" customHeight="1">
      <c r="A1340" s="83" t="s">
        <v>1273</v>
      </c>
    </row>
    <row r="1341" ht="15.75" customHeight="1">
      <c r="A1341" s="83" t="s">
        <v>824</v>
      </c>
    </row>
    <row r="1342" ht="15.75" customHeight="1">
      <c r="A1342" s="83" t="s">
        <v>1274</v>
      </c>
    </row>
    <row r="1343" ht="15.75" customHeight="1">
      <c r="A1343" s="83" t="s">
        <v>1236</v>
      </c>
    </row>
    <row r="1344" ht="15.75" customHeight="1">
      <c r="A1344" s="83" t="s">
        <v>1275</v>
      </c>
    </row>
    <row r="1345" ht="15.75" customHeight="1"/>
    <row r="1346" ht="15.75" customHeight="1">
      <c r="A1346" s="83" t="s">
        <v>1276</v>
      </c>
    </row>
    <row r="1347" ht="15.75" customHeight="1">
      <c r="A1347" s="83" t="s">
        <v>1277</v>
      </c>
    </row>
    <row r="1348" ht="15.75" customHeight="1">
      <c r="A1348" s="83" t="s">
        <v>1278</v>
      </c>
    </row>
    <row r="1349" ht="15.75" customHeight="1">
      <c r="A1349" s="83" t="s">
        <v>1279</v>
      </c>
    </row>
    <row r="1350" ht="15.75" customHeight="1">
      <c r="A1350" s="83" t="s">
        <v>1280</v>
      </c>
    </row>
    <row r="1351" ht="15.75" customHeight="1"/>
    <row r="1352" ht="15.75" customHeight="1">
      <c r="A1352" s="83" t="s">
        <v>1239</v>
      </c>
    </row>
    <row r="1353" ht="15.75" customHeight="1">
      <c r="A1353" s="83" t="s">
        <v>1281</v>
      </c>
    </row>
    <row r="1354" ht="15.75" customHeight="1">
      <c r="A1354" s="83" t="s">
        <v>1282</v>
      </c>
    </row>
    <row r="1355" ht="15.75" customHeight="1">
      <c r="A1355" s="83" t="s">
        <v>1283</v>
      </c>
    </row>
    <row r="1356" ht="15.75" customHeight="1">
      <c r="A1356" s="83" t="s">
        <v>1284</v>
      </c>
    </row>
    <row r="1357" ht="15.75" customHeight="1">
      <c r="A1357" s="83" t="s">
        <v>1285</v>
      </c>
    </row>
    <row r="1358" ht="15.75" customHeight="1">
      <c r="A1358" s="83" t="s">
        <v>1286</v>
      </c>
    </row>
    <row r="1359" ht="15.75" customHeight="1">
      <c r="A1359" s="83" t="s">
        <v>1287</v>
      </c>
    </row>
    <row r="1360" ht="15.75" customHeight="1">
      <c r="A1360" s="83" t="s">
        <v>1242</v>
      </c>
    </row>
    <row r="1361" ht="15.75" customHeight="1">
      <c r="A1361" s="83" t="s">
        <v>223</v>
      </c>
    </row>
    <row r="1362" ht="15.75" customHeight="1"/>
    <row r="1363" ht="15.75" customHeight="1">
      <c r="A1363" s="83" t="s">
        <v>1163</v>
      </c>
    </row>
    <row r="1364" ht="15.75" customHeight="1"/>
    <row r="1365" ht="15.75" customHeight="1">
      <c r="A1365" s="83" t="s">
        <v>1288</v>
      </c>
    </row>
    <row r="1366" ht="15.75" customHeight="1">
      <c r="A1366" s="83" t="s">
        <v>1289</v>
      </c>
    </row>
    <row r="1367" ht="15.75" customHeight="1">
      <c r="A1367" s="83" t="s">
        <v>1290</v>
      </c>
    </row>
    <row r="1368" ht="15.75" customHeight="1">
      <c r="A1368" s="83" t="s">
        <v>1291</v>
      </c>
    </row>
    <row r="1369" ht="15.75" customHeight="1">
      <c r="A1369" s="83" t="s">
        <v>223</v>
      </c>
    </row>
    <row r="1370" ht="15.75" customHeight="1"/>
    <row r="1371" ht="15.75" customHeight="1">
      <c r="A1371" s="83" t="s">
        <v>1164</v>
      </c>
    </row>
    <row r="1372" ht="15.75" customHeight="1"/>
    <row r="1373" ht="15.75" customHeight="1">
      <c r="A1373" s="83" t="s">
        <v>1292</v>
      </c>
    </row>
    <row r="1374" ht="15.75" customHeight="1">
      <c r="A1374" s="83" t="s">
        <v>1293</v>
      </c>
    </row>
    <row r="1375" ht="15.75" customHeight="1">
      <c r="A1375" s="83" t="s">
        <v>223</v>
      </c>
    </row>
    <row r="1376" ht="15.75" customHeight="1"/>
    <row r="1377" ht="15.75" customHeight="1">
      <c r="A1377" s="83" t="s">
        <v>1294</v>
      </c>
    </row>
    <row r="1378" ht="15.75" customHeight="1">
      <c r="A1378" s="83" t="s">
        <v>1295</v>
      </c>
    </row>
    <row r="1379" ht="15.75" customHeight="1">
      <c r="A1379" s="83" t="s">
        <v>479</v>
      </c>
    </row>
    <row r="1380" ht="15.75" customHeight="1">
      <c r="A1380" s="83" t="s">
        <v>710</v>
      </c>
    </row>
    <row r="1381" ht="15.75" customHeight="1">
      <c r="A1381" s="83" t="s">
        <v>711</v>
      </c>
    </row>
    <row r="1382" ht="15.75" customHeight="1">
      <c r="A1382" s="83" t="s">
        <v>712</v>
      </c>
    </row>
    <row r="1383" ht="15.75" customHeight="1">
      <c r="A1383" s="83" t="s">
        <v>494</v>
      </c>
    </row>
    <row r="1384" ht="15.75" customHeight="1">
      <c r="A1384" s="83" t="s">
        <v>223</v>
      </c>
    </row>
    <row r="1385" ht="15.75" customHeight="1"/>
    <row r="1386" ht="15.75" customHeight="1">
      <c r="A1386" s="83" t="s">
        <v>1296</v>
      </c>
    </row>
    <row r="1387" ht="15.75" customHeight="1">
      <c r="A1387" s="83" t="s">
        <v>1297</v>
      </c>
    </row>
    <row r="1388" ht="15.75" customHeight="1">
      <c r="A1388" s="83" t="s">
        <v>1298</v>
      </c>
    </row>
    <row r="1389" ht="15.75" customHeight="1">
      <c r="A1389" s="83" t="s">
        <v>494</v>
      </c>
    </row>
    <row r="1390" ht="15.75" customHeight="1">
      <c r="A1390" s="83" t="s">
        <v>223</v>
      </c>
    </row>
    <row r="1391" ht="15.75" customHeight="1"/>
    <row r="1392" ht="15.75" customHeight="1">
      <c r="A1392" s="83" t="s">
        <v>1299</v>
      </c>
    </row>
    <row r="1393" ht="15.75" customHeight="1">
      <c r="A1393" s="83" t="s">
        <v>1300</v>
      </c>
    </row>
    <row r="1394" ht="15.75" customHeight="1"/>
    <row r="1395" ht="15.75" customHeight="1">
      <c r="A1395" s="83" t="s">
        <v>1301</v>
      </c>
    </row>
    <row r="1396" ht="15.75" customHeight="1">
      <c r="A1396" s="83" t="s">
        <v>1302</v>
      </c>
    </row>
    <row r="1397" ht="15.75" customHeight="1">
      <c r="A1397" s="83" t="s">
        <v>494</v>
      </c>
    </row>
    <row r="1398" ht="15.75" customHeight="1">
      <c r="A1398" s="83" t="s">
        <v>223</v>
      </c>
    </row>
    <row r="1399" ht="15.75" customHeight="1"/>
    <row r="1400" ht="15.75" customHeight="1">
      <c r="A1400" s="83" t="s">
        <v>429</v>
      </c>
    </row>
    <row r="1401" ht="15.75" customHeight="1">
      <c r="A1401" s="83" t="s">
        <v>1303</v>
      </c>
    </row>
    <row r="1402" ht="15.75" customHeight="1">
      <c r="A1402" s="83" t="s">
        <v>1304</v>
      </c>
    </row>
    <row r="1403" ht="15.75" customHeight="1">
      <c r="A1403" s="83" t="s">
        <v>1305</v>
      </c>
    </row>
    <row r="1404" ht="15.75" customHeight="1"/>
    <row r="1405" ht="15.75" customHeight="1">
      <c r="A1405" s="83" t="s">
        <v>1306</v>
      </c>
    </row>
    <row r="1406" ht="15.75" customHeight="1"/>
    <row r="1407" ht="15.75" customHeight="1">
      <c r="A1407" s="83" t="s">
        <v>490</v>
      </c>
    </row>
    <row r="1408" ht="15.75" customHeight="1">
      <c r="A1408" s="83" t="s">
        <v>1307</v>
      </c>
    </row>
    <row r="1409" ht="15.75" customHeight="1"/>
    <row r="1410" ht="15.75" customHeight="1">
      <c r="A1410" s="83" t="s">
        <v>1308</v>
      </c>
    </row>
    <row r="1411" ht="15.75" customHeight="1">
      <c r="A1411" s="83" t="s">
        <v>479</v>
      </c>
    </row>
    <row r="1412" ht="15.75" customHeight="1">
      <c r="A1412" s="83" t="s">
        <v>497</v>
      </c>
    </row>
    <row r="1413" ht="15.75" customHeight="1">
      <c r="A1413" s="83" t="s">
        <v>716</v>
      </c>
    </row>
    <row r="1414" ht="15.75" customHeight="1">
      <c r="A1414" s="83" t="s">
        <v>1309</v>
      </c>
    </row>
    <row r="1415" ht="15.75" customHeight="1">
      <c r="A1415" s="83" t="s">
        <v>528</v>
      </c>
    </row>
    <row r="1416" ht="15.75" customHeight="1">
      <c r="A1416" s="83" t="s">
        <v>1310</v>
      </c>
    </row>
    <row r="1417" ht="15.75" customHeight="1">
      <c r="A1417" s="83" t="s">
        <v>223</v>
      </c>
    </row>
    <row r="1418" ht="15.75" customHeight="1">
      <c r="A1418" s="83" t="s">
        <v>223</v>
      </c>
    </row>
    <row r="1419" ht="15.75" customHeight="1"/>
    <row r="1420" ht="15.75" customHeight="1">
      <c r="A1420" s="83" t="s">
        <v>1311</v>
      </c>
    </row>
    <row r="1421" ht="15.75" customHeight="1">
      <c r="A1421" s="83" t="s">
        <v>528</v>
      </c>
    </row>
    <row r="1422" ht="15.75" customHeight="1">
      <c r="A1422" s="83" t="s">
        <v>1312</v>
      </c>
    </row>
    <row r="1423" ht="15.75" customHeight="1">
      <c r="A1423" s="83" t="s">
        <v>550</v>
      </c>
    </row>
    <row r="1424" ht="15.75" customHeight="1">
      <c r="A1424" s="83" t="s">
        <v>223</v>
      </c>
    </row>
    <row r="1425" ht="15.75" customHeight="1">
      <c r="A1425" s="83" t="s">
        <v>223</v>
      </c>
    </row>
    <row r="1426" ht="15.75" customHeight="1"/>
    <row r="1427" ht="15.75" customHeight="1">
      <c r="A1427" s="83" t="s">
        <v>1313</v>
      </c>
    </row>
    <row r="1428" ht="15.75" customHeight="1">
      <c r="A1428" s="83" t="s">
        <v>479</v>
      </c>
    </row>
    <row r="1429" ht="15.75" customHeight="1">
      <c r="A1429" s="83" t="s">
        <v>710</v>
      </c>
    </row>
    <row r="1430" ht="15.75" customHeight="1">
      <c r="A1430" s="83" t="s">
        <v>711</v>
      </c>
    </row>
    <row r="1431" ht="15.75" customHeight="1">
      <c r="A1431" s="83" t="s">
        <v>712</v>
      </c>
    </row>
    <row r="1432" ht="15.75" customHeight="1">
      <c r="A1432" s="83" t="s">
        <v>494</v>
      </c>
    </row>
    <row r="1433" ht="15.75" customHeight="1">
      <c r="A1433" s="83" t="s">
        <v>223</v>
      </c>
    </row>
    <row r="1434" ht="15.75" customHeight="1"/>
    <row r="1435" ht="15.75" customHeight="1">
      <c r="A1435" s="83" t="s">
        <v>1296</v>
      </c>
    </row>
    <row r="1436" ht="15.75" customHeight="1">
      <c r="A1436" s="83" t="s">
        <v>1297</v>
      </c>
    </row>
    <row r="1437" ht="15.75" customHeight="1">
      <c r="A1437" s="83" t="s">
        <v>1298</v>
      </c>
    </row>
    <row r="1438" ht="15.75" customHeight="1">
      <c r="A1438" s="83" t="s">
        <v>494</v>
      </c>
    </row>
    <row r="1439" ht="15.75" customHeight="1">
      <c r="A1439" s="83" t="s">
        <v>223</v>
      </c>
    </row>
    <row r="1440" ht="15.75" customHeight="1"/>
    <row r="1441" ht="15.75" customHeight="1">
      <c r="A1441" s="83" t="s">
        <v>1299</v>
      </c>
    </row>
    <row r="1442" ht="15.75" customHeight="1">
      <c r="A1442" s="83" t="s">
        <v>1300</v>
      </c>
    </row>
    <row r="1443" ht="15.75" customHeight="1"/>
    <row r="1444" ht="15.75" customHeight="1">
      <c r="A1444" s="83" t="s">
        <v>1301</v>
      </c>
    </row>
    <row r="1445" ht="15.75" customHeight="1">
      <c r="A1445" s="83" t="s">
        <v>1302</v>
      </c>
    </row>
    <row r="1446" ht="15.75" customHeight="1">
      <c r="A1446" s="83" t="s">
        <v>494</v>
      </c>
    </row>
    <row r="1447" ht="15.75" customHeight="1">
      <c r="A1447" s="83" t="s">
        <v>223</v>
      </c>
    </row>
    <row r="1448" ht="15.75" customHeight="1"/>
    <row r="1449" ht="15.75" customHeight="1">
      <c r="A1449" s="83" t="s">
        <v>429</v>
      </c>
    </row>
    <row r="1450" ht="15.75" customHeight="1">
      <c r="A1450" s="83" t="s">
        <v>1314</v>
      </c>
    </row>
    <row r="1451" ht="15.75" customHeight="1">
      <c r="A1451" s="83" t="s">
        <v>1315</v>
      </c>
    </row>
    <row r="1452" ht="15.75" customHeight="1"/>
    <row r="1453" ht="15.75" customHeight="1">
      <c r="A1453" s="83" t="s">
        <v>1249</v>
      </c>
    </row>
    <row r="1454" ht="15.75" customHeight="1"/>
    <row r="1455" ht="15.75" customHeight="1">
      <c r="A1455" s="83" t="s">
        <v>1316</v>
      </c>
    </row>
    <row r="1456" ht="15.75" customHeight="1">
      <c r="A1456" s="83" t="s">
        <v>1317</v>
      </c>
    </row>
    <row r="1457" ht="15.75" customHeight="1"/>
    <row r="1458" ht="15.75" customHeight="1">
      <c r="A1458" s="83" t="s">
        <v>1318</v>
      </c>
    </row>
    <row r="1459" ht="15.75" customHeight="1">
      <c r="A1459" s="83" t="s">
        <v>1319</v>
      </c>
    </row>
    <row r="1460" ht="15.75" customHeight="1">
      <c r="A1460" s="83" t="s">
        <v>494</v>
      </c>
    </row>
    <row r="1461" ht="15.75" customHeight="1">
      <c r="A1461" s="83" t="s">
        <v>223</v>
      </c>
    </row>
    <row r="1462" ht="15.75" customHeight="1"/>
    <row r="1463" ht="15.75" customHeight="1">
      <c r="A1463" s="83" t="s">
        <v>490</v>
      </c>
    </row>
    <row r="1464" ht="15.75" customHeight="1">
      <c r="A1464" s="83" t="s">
        <v>1320</v>
      </c>
    </row>
    <row r="1465" ht="15.75" customHeight="1">
      <c r="A1465" s="83" t="s">
        <v>1321</v>
      </c>
    </row>
    <row r="1466" ht="15.75" customHeight="1">
      <c r="A1466" s="83" t="s">
        <v>494</v>
      </c>
    </row>
    <row r="1467" ht="15.75" customHeight="1">
      <c r="A1467" s="83" t="s">
        <v>223</v>
      </c>
    </row>
    <row r="1468" ht="15.75" customHeight="1"/>
    <row r="1469" ht="15.75" customHeight="1">
      <c r="A1469" s="83" t="s">
        <v>1307</v>
      </c>
    </row>
    <row r="1470" ht="15.75" customHeight="1">
      <c r="A1470" s="83" t="s">
        <v>1308</v>
      </c>
    </row>
    <row r="1471" ht="15.75" customHeight="1">
      <c r="A1471" s="83" t="s">
        <v>1322</v>
      </c>
    </row>
    <row r="1472" ht="15.75" customHeight="1">
      <c r="A1472" s="83" t="s">
        <v>497</v>
      </c>
    </row>
    <row r="1473" ht="15.75" customHeight="1">
      <c r="A1473" s="83" t="s">
        <v>1309</v>
      </c>
    </row>
    <row r="1474" ht="15.75" customHeight="1">
      <c r="A1474" s="83" t="s">
        <v>223</v>
      </c>
    </row>
    <row r="1475" ht="15.75" customHeight="1"/>
    <row r="1476" ht="15.75" customHeight="1">
      <c r="A1476" s="83" t="s">
        <v>1323</v>
      </c>
    </row>
    <row r="1477" ht="15.75" customHeight="1">
      <c r="A1477" s="83" t="s">
        <v>528</v>
      </c>
    </row>
    <row r="1478" ht="15.75" customHeight="1">
      <c r="A1478" s="83" t="s">
        <v>1324</v>
      </c>
    </row>
    <row r="1479" ht="15.75" customHeight="1">
      <c r="A1479" s="83" t="s">
        <v>550</v>
      </c>
    </row>
    <row r="1480" ht="15.75" customHeight="1">
      <c r="A1480" s="83" t="s">
        <v>223</v>
      </c>
    </row>
    <row r="1481" ht="15.75" customHeight="1">
      <c r="A1481" s="83" t="s">
        <v>223</v>
      </c>
    </row>
    <row r="1482" ht="15.75" customHeight="1"/>
    <row r="1483" ht="15.75" customHeight="1">
      <c r="A1483" s="83" t="s">
        <v>1325</v>
      </c>
    </row>
    <row r="1484" ht="15.75" customHeight="1">
      <c r="A1484" s="83" t="s">
        <v>479</v>
      </c>
    </row>
    <row r="1485" ht="15.75" customHeight="1">
      <c r="A1485" s="83" t="s">
        <v>710</v>
      </c>
    </row>
    <row r="1486" ht="15.75" customHeight="1">
      <c r="A1486" s="83" t="s">
        <v>711</v>
      </c>
    </row>
    <row r="1487" ht="15.75" customHeight="1">
      <c r="A1487" s="83" t="s">
        <v>712</v>
      </c>
    </row>
    <row r="1488" ht="15.75" customHeight="1">
      <c r="A1488" s="83" t="s">
        <v>494</v>
      </c>
    </row>
    <row r="1489" ht="15.75" customHeight="1">
      <c r="A1489" s="83" t="s">
        <v>223</v>
      </c>
    </row>
    <row r="1490" ht="15.75" customHeight="1"/>
    <row r="1491" ht="15.75" customHeight="1">
      <c r="A1491" s="83" t="s">
        <v>1296</v>
      </c>
    </row>
    <row r="1492" ht="15.75" customHeight="1">
      <c r="A1492" s="83" t="s">
        <v>1297</v>
      </c>
    </row>
    <row r="1493" ht="15.75" customHeight="1">
      <c r="A1493" s="83" t="s">
        <v>1298</v>
      </c>
    </row>
    <row r="1494" ht="15.75" customHeight="1">
      <c r="A1494" s="83" t="s">
        <v>494</v>
      </c>
    </row>
    <row r="1495" ht="15.75" customHeight="1">
      <c r="A1495" s="83" t="s">
        <v>223</v>
      </c>
    </row>
    <row r="1496" ht="15.75" customHeight="1"/>
    <row r="1497" ht="15.75" customHeight="1">
      <c r="A1497" s="83" t="s">
        <v>1299</v>
      </c>
    </row>
    <row r="1498" ht="15.75" customHeight="1">
      <c r="A1498" s="83" t="s">
        <v>1300</v>
      </c>
    </row>
    <row r="1499" ht="15.75" customHeight="1"/>
    <row r="1500" ht="15.75" customHeight="1">
      <c r="A1500" s="83" t="s">
        <v>1301</v>
      </c>
    </row>
    <row r="1501" ht="15.75" customHeight="1">
      <c r="A1501" s="83" t="s">
        <v>1302</v>
      </c>
    </row>
    <row r="1502" ht="15.75" customHeight="1">
      <c r="A1502" s="83" t="s">
        <v>494</v>
      </c>
    </row>
    <row r="1503" ht="15.75" customHeight="1">
      <c r="A1503" s="83" t="s">
        <v>223</v>
      </c>
    </row>
    <row r="1504" ht="15.75" customHeight="1"/>
    <row r="1505" ht="15.75" customHeight="1">
      <c r="A1505" s="83" t="s">
        <v>429</v>
      </c>
    </row>
    <row r="1506" ht="15.75" customHeight="1">
      <c r="A1506" s="83" t="s">
        <v>1326</v>
      </c>
    </row>
    <row r="1507" ht="15.75" customHeight="1">
      <c r="A1507" s="83" t="s">
        <v>1327</v>
      </c>
    </row>
    <row r="1508" ht="15.75" customHeight="1">
      <c r="A1508" s="83" t="s">
        <v>1305</v>
      </c>
    </row>
    <row r="1509" ht="15.75" customHeight="1"/>
    <row r="1510" ht="15.75" customHeight="1">
      <c r="A1510" s="83" t="s">
        <v>1306</v>
      </c>
    </row>
    <row r="1511" ht="15.75" customHeight="1"/>
    <row r="1512" ht="15.75" customHeight="1">
      <c r="A1512" s="83" t="s">
        <v>490</v>
      </c>
    </row>
    <row r="1513" ht="15.75" customHeight="1">
      <c r="A1513" s="83" t="s">
        <v>1328</v>
      </c>
    </row>
    <row r="1514" ht="15.75" customHeight="1">
      <c r="A1514" s="83" t="s">
        <v>1329</v>
      </c>
    </row>
    <row r="1515" ht="15.75" customHeight="1">
      <c r="A1515" s="83" t="s">
        <v>494</v>
      </c>
    </row>
    <row r="1516" ht="15.75" customHeight="1">
      <c r="A1516" s="83" t="s">
        <v>223</v>
      </c>
    </row>
    <row r="1517" ht="15.75" customHeight="1"/>
    <row r="1518" ht="15.75" customHeight="1">
      <c r="A1518" s="83" t="s">
        <v>1307</v>
      </c>
    </row>
    <row r="1519" ht="15.75" customHeight="1">
      <c r="A1519" s="83" t="s">
        <v>1308</v>
      </c>
    </row>
    <row r="1520" ht="15.75" customHeight="1">
      <c r="A1520" s="83" t="s">
        <v>1330</v>
      </c>
    </row>
    <row r="1521" ht="15.75" customHeight="1">
      <c r="A1521" s="83" t="s">
        <v>1331</v>
      </c>
    </row>
    <row r="1522" ht="15.75" customHeight="1"/>
    <row r="1523" ht="15.75" customHeight="1">
      <c r="A1523" s="83" t="s">
        <v>891</v>
      </c>
    </row>
    <row r="1524" ht="15.75" customHeight="1">
      <c r="A1524" s="83" t="s">
        <v>1332</v>
      </c>
    </row>
    <row r="1525" ht="15.75" customHeight="1">
      <c r="A1525" s="83" t="s">
        <v>1333</v>
      </c>
    </row>
    <row r="1526" ht="15.75" customHeight="1">
      <c r="A1526" s="83" t="s">
        <v>517</v>
      </c>
    </row>
    <row r="1527" ht="15.75" customHeight="1">
      <c r="A1527" s="83" t="s">
        <v>518</v>
      </c>
    </row>
    <row r="1528" ht="15.75" customHeight="1">
      <c r="A1528" s="83" t="s">
        <v>223</v>
      </c>
    </row>
    <row r="1529" ht="15.75" customHeight="1">
      <c r="A1529" s="83" t="s">
        <v>519</v>
      </c>
    </row>
    <row r="1530" ht="15.75" customHeight="1"/>
    <row r="1531" ht="15.75" customHeight="1">
      <c r="A1531" s="83" t="s">
        <v>521</v>
      </c>
    </row>
    <row r="1532" ht="15.75" customHeight="1">
      <c r="A1532" s="83" t="s">
        <v>522</v>
      </c>
    </row>
    <row r="1533" ht="15.75" customHeight="1">
      <c r="A1533" s="83" t="s">
        <v>223</v>
      </c>
    </row>
    <row r="1534" ht="15.75" customHeight="1"/>
    <row r="1535" ht="15.75" customHeight="1">
      <c r="A1535" s="83" t="s">
        <v>497</v>
      </c>
    </row>
    <row r="1536" ht="15.75" customHeight="1">
      <c r="A1536" s="83" t="s">
        <v>523</v>
      </c>
    </row>
    <row r="1537" ht="15.75" customHeight="1">
      <c r="A1537" s="83" t="s">
        <v>1309</v>
      </c>
    </row>
    <row r="1538" ht="15.75" customHeight="1">
      <c r="A1538" s="83" t="s">
        <v>223</v>
      </c>
    </row>
    <row r="1539" ht="15.75" customHeight="1">
      <c r="A1539" s="83" t="s">
        <v>223</v>
      </c>
    </row>
    <row r="1540" ht="15.75" customHeight="1"/>
    <row r="1541" ht="15.75" customHeight="1">
      <c r="A1541" s="83" t="s">
        <v>1334</v>
      </c>
    </row>
    <row r="1542" ht="15.75" customHeight="1">
      <c r="A1542" s="83" t="s">
        <v>528</v>
      </c>
    </row>
    <row r="1543" ht="15.75" customHeight="1">
      <c r="A1543" s="83" t="s">
        <v>1335</v>
      </c>
    </row>
    <row r="1544" ht="15.75" customHeight="1">
      <c r="A1544" s="83" t="s">
        <v>550</v>
      </c>
    </row>
    <row r="1545" ht="15.75" customHeight="1">
      <c r="A1545" s="83" t="s">
        <v>223</v>
      </c>
    </row>
    <row r="1546" ht="15.75" customHeight="1">
      <c r="A1546" s="83" t="s">
        <v>223</v>
      </c>
    </row>
    <row r="1547" ht="15.75" customHeight="1"/>
    <row r="1548" ht="15.75" customHeight="1">
      <c r="A1548" s="83" t="s">
        <v>1351</v>
      </c>
    </row>
    <row r="1549" ht="15.75" customHeight="1">
      <c r="A1549" s="83" t="s">
        <v>479</v>
      </c>
    </row>
    <row r="1550" ht="15.75" customHeight="1">
      <c r="A1550" s="83" t="s">
        <v>1352</v>
      </c>
    </row>
    <row r="1551" ht="15.75" customHeight="1">
      <c r="A1551" s="83" t="s">
        <v>528</v>
      </c>
    </row>
    <row r="1552" ht="15.75" customHeight="1">
      <c r="A1552" s="83" t="s">
        <v>1353</v>
      </c>
    </row>
    <row r="1553" ht="15.75" customHeight="1">
      <c r="A1553" s="83" t="s">
        <v>550</v>
      </c>
    </row>
    <row r="1554" ht="15.75" customHeight="1">
      <c r="A1554" s="83" t="s">
        <v>223</v>
      </c>
    </row>
    <row r="1555" ht="15.75" customHeight="1">
      <c r="A1555" s="83" t="s">
        <v>223</v>
      </c>
    </row>
    <row r="1556" ht="15.75" customHeight="1"/>
    <row r="1557" ht="15.75" customHeight="1">
      <c r="A1557" s="83" t="s">
        <v>1354</v>
      </c>
    </row>
    <row r="1558" ht="15.75" customHeight="1">
      <c r="A1558" s="83" t="s">
        <v>1355</v>
      </c>
    </row>
    <row r="1559" ht="15.75" customHeight="1">
      <c r="A1559" s="83" t="s">
        <v>479</v>
      </c>
    </row>
    <row r="1560" ht="15.75" customHeight="1">
      <c r="A1560" s="83" t="s">
        <v>527</v>
      </c>
    </row>
    <row r="1561" ht="15.75" customHeight="1">
      <c r="A1561" s="83" t="s">
        <v>1356</v>
      </c>
    </row>
    <row r="1562" ht="15.75" customHeight="1">
      <c r="A1562" s="83" t="s">
        <v>528</v>
      </c>
    </row>
    <row r="1563" ht="15.75" customHeight="1">
      <c r="A1563" s="83" t="s">
        <v>1357</v>
      </c>
    </row>
    <row r="1564" ht="15.75" customHeight="1">
      <c r="A1564" s="83" t="s">
        <v>1358</v>
      </c>
    </row>
    <row r="1565" ht="15.75" customHeight="1">
      <c r="A1565" s="83" t="s">
        <v>223</v>
      </c>
    </row>
    <row r="1566" ht="15.75" customHeight="1">
      <c r="A1566" s="83" t="s">
        <v>223</v>
      </c>
    </row>
    <row r="1567" ht="15.75" customHeight="1"/>
    <row r="1568" ht="15.75" customHeight="1">
      <c r="A1568" s="83" t="s">
        <v>1359</v>
      </c>
    </row>
    <row r="1569" ht="15.75" customHeight="1">
      <c r="A1569" s="83" t="s">
        <v>1360</v>
      </c>
    </row>
    <row r="1570" ht="15.75" customHeight="1">
      <c r="A1570" s="83" t="s">
        <v>1361</v>
      </c>
    </row>
    <row r="1571" ht="15.75" customHeight="1">
      <c r="A1571" s="83" t="s">
        <v>1362</v>
      </c>
    </row>
    <row r="1572" ht="15.75" customHeight="1"/>
    <row r="1573" ht="15.75" customHeight="1">
      <c r="A1573" s="83" t="s">
        <v>1363</v>
      </c>
    </row>
    <row r="1574" ht="15.75" customHeight="1">
      <c r="A1574" s="83" t="s">
        <v>1364</v>
      </c>
    </row>
    <row r="1575" ht="15.75" customHeight="1">
      <c r="A1575" s="83" t="s">
        <v>223</v>
      </c>
    </row>
    <row r="1576" ht="15.75" customHeight="1"/>
    <row r="1577" ht="15.75" customHeight="1">
      <c r="A1577" s="83" t="s">
        <v>1365</v>
      </c>
    </row>
    <row r="1578" ht="15.75" customHeight="1">
      <c r="A1578" s="83" t="s">
        <v>1366</v>
      </c>
    </row>
    <row r="1579" ht="15.75" customHeight="1">
      <c r="A1579" s="83" t="s">
        <v>223</v>
      </c>
    </row>
    <row r="1580" ht="15.75" customHeight="1"/>
    <row r="1581" ht="15.75" customHeight="1">
      <c r="A1581" s="83" t="s">
        <v>1038</v>
      </c>
    </row>
    <row r="1582" ht="15.75" customHeight="1">
      <c r="A1582" s="83" t="s">
        <v>1367</v>
      </c>
    </row>
    <row r="1583" ht="15.75" customHeight="1"/>
    <row r="1584" ht="15.75" customHeight="1">
      <c r="A1584" s="83" t="s">
        <v>1368</v>
      </c>
    </row>
    <row r="1585" ht="15.75" customHeight="1">
      <c r="A1585" s="83" t="s">
        <v>1369</v>
      </c>
    </row>
    <row r="1586" ht="15.75" customHeight="1"/>
    <row r="1587" ht="15.75" customHeight="1">
      <c r="A1587" s="83" t="s">
        <v>1370</v>
      </c>
    </row>
    <row r="1588" ht="15.75" customHeight="1">
      <c r="A1588" s="83" t="s">
        <v>1371</v>
      </c>
    </row>
    <row r="1589" ht="15.75" customHeight="1">
      <c r="A1589" s="83" t="s">
        <v>1372</v>
      </c>
    </row>
    <row r="1590" ht="15.75" customHeight="1"/>
    <row r="1591" ht="15.75" customHeight="1">
      <c r="A1591" s="83" t="s">
        <v>1373</v>
      </c>
    </row>
    <row r="1592" ht="15.75" customHeight="1">
      <c r="A1592" s="83" t="s">
        <v>1374</v>
      </c>
    </row>
    <row r="1593" ht="15.75" customHeight="1">
      <c r="A1593" s="83" t="s">
        <v>1375</v>
      </c>
    </row>
    <row r="1594" ht="15.75" customHeight="1">
      <c r="A1594" s="83" t="s">
        <v>1376</v>
      </c>
    </row>
    <row r="1595" ht="15.75" customHeight="1">
      <c r="A1595" s="83" t="s">
        <v>1377</v>
      </c>
    </row>
    <row r="1596" ht="15.75" customHeight="1">
      <c r="A1596" s="83" t="s">
        <v>1378</v>
      </c>
    </row>
    <row r="1597" ht="15.75" customHeight="1">
      <c r="A1597" s="83" t="s">
        <v>1379</v>
      </c>
    </row>
    <row r="1598" ht="15.75" customHeight="1"/>
    <row r="1599" ht="15.75" customHeight="1">
      <c r="A1599" s="83" t="s">
        <v>945</v>
      </c>
    </row>
    <row r="1600" ht="15.75" customHeight="1">
      <c r="A1600" s="83" t="s">
        <v>1059</v>
      </c>
    </row>
    <row r="1601" ht="15.75" customHeight="1"/>
    <row r="1602" ht="15.75" customHeight="1">
      <c r="A1602" s="83" t="s">
        <v>1380</v>
      </c>
    </row>
    <row r="1603" ht="15.75" customHeight="1">
      <c r="A1603" s="83" t="s">
        <v>1381</v>
      </c>
    </row>
    <row r="1604" ht="15.75" customHeight="1">
      <c r="A1604" s="83" t="s">
        <v>1382</v>
      </c>
    </row>
    <row r="1605" ht="15.75" customHeight="1">
      <c r="A1605" s="83" t="s">
        <v>1383</v>
      </c>
    </row>
    <row r="1606" ht="15.75" customHeight="1">
      <c r="A1606" s="83" t="s">
        <v>1384</v>
      </c>
    </row>
    <row r="1607" ht="15.75" customHeight="1">
      <c r="A1607" s="83" t="s">
        <v>1385</v>
      </c>
    </row>
    <row r="1608" ht="15.75" customHeight="1">
      <c r="A1608" s="83" t="s">
        <v>223</v>
      </c>
    </row>
    <row r="1609" ht="15.75" customHeight="1">
      <c r="A1609" s="83" t="s">
        <v>223</v>
      </c>
    </row>
    <row r="1610" ht="15.75" customHeight="1"/>
    <row r="1611" ht="15.75" customHeight="1">
      <c r="A1611" s="83" t="s">
        <v>1386</v>
      </c>
    </row>
    <row r="1612" ht="15.75" customHeight="1">
      <c r="A1612" s="83" t="s">
        <v>1387</v>
      </c>
    </row>
    <row r="1613" ht="15.75" customHeight="1">
      <c r="A1613" s="83" t="s">
        <v>1388</v>
      </c>
    </row>
    <row r="1614" ht="15.75" customHeight="1">
      <c r="A1614" s="83" t="s">
        <v>1389</v>
      </c>
    </row>
    <row r="1615" ht="15.75" customHeight="1">
      <c r="A1615" s="83" t="s">
        <v>1390</v>
      </c>
    </row>
    <row r="1616" ht="15.75" customHeight="1">
      <c r="A1616" s="83" t="s">
        <v>1391</v>
      </c>
    </row>
    <row r="1617" ht="15.75" customHeight="1">
      <c r="A1617" s="83" t="s">
        <v>954</v>
      </c>
    </row>
    <row r="1618" ht="15.75" customHeight="1">
      <c r="A1618" s="83" t="s">
        <v>1392</v>
      </c>
    </row>
    <row r="1619" ht="15.75" customHeight="1">
      <c r="A1619" s="83" t="s">
        <v>223</v>
      </c>
    </row>
    <row r="1620" ht="15.75" customHeight="1">
      <c r="A1620" s="83" t="s">
        <v>223</v>
      </c>
    </row>
    <row r="1621" ht="15.75" customHeight="1"/>
    <row r="1622" ht="15.75" customHeight="1">
      <c r="A1622" s="83" t="s">
        <v>888</v>
      </c>
    </row>
    <row r="1623" ht="15.75" customHeight="1">
      <c r="A1623" s="83" t="s">
        <v>889</v>
      </c>
    </row>
    <row r="1624" ht="15.75" customHeight="1">
      <c r="A1624" s="83" t="s">
        <v>900</v>
      </c>
    </row>
    <row r="1625" ht="15.75" customHeight="1">
      <c r="A1625" s="83" t="s">
        <v>1192</v>
      </c>
    </row>
    <row r="1626" ht="15.75" customHeight="1">
      <c r="A1626" s="83" t="s">
        <v>1393</v>
      </c>
    </row>
    <row r="1627" ht="15.75" customHeight="1">
      <c r="A1627" s="83" t="s">
        <v>1061</v>
      </c>
    </row>
    <row r="1628" ht="15.75" customHeight="1"/>
    <row r="1629" ht="15.75" customHeight="1">
      <c r="A1629" s="83" t="s">
        <v>1394</v>
      </c>
    </row>
    <row r="1630" ht="15.75" customHeight="1">
      <c r="A1630" s="83" t="s">
        <v>1395</v>
      </c>
    </row>
    <row r="1631" ht="15.75" customHeight="1">
      <c r="A1631" s="83" t="s">
        <v>1396</v>
      </c>
    </row>
    <row r="1632" ht="15.75" customHeight="1">
      <c r="A1632" s="83" t="s">
        <v>1064</v>
      </c>
    </row>
    <row r="1633" ht="15.75" customHeight="1">
      <c r="A1633" s="83" t="s">
        <v>1397</v>
      </c>
    </row>
    <row r="1634" ht="15.75" customHeight="1">
      <c r="A1634" s="83" t="s">
        <v>984</v>
      </c>
    </row>
    <row r="1635" ht="15.75" customHeight="1">
      <c r="A1635" s="83" t="s">
        <v>1398</v>
      </c>
    </row>
    <row r="1636" ht="15.75" customHeight="1">
      <c r="A1636" s="83" t="s">
        <v>1399</v>
      </c>
    </row>
    <row r="1637" ht="15.75" customHeight="1">
      <c r="A1637" s="83" t="s">
        <v>1400</v>
      </c>
    </row>
    <row r="1638" ht="15.75" customHeight="1">
      <c r="A1638" s="83" t="s">
        <v>223</v>
      </c>
    </row>
    <row r="1639" ht="15.75" customHeight="1">
      <c r="A1639" s="83" t="s">
        <v>1401</v>
      </c>
    </row>
    <row r="1640" ht="15.75" customHeight="1">
      <c r="A1640" s="83" t="s">
        <v>1400</v>
      </c>
    </row>
    <row r="1641" ht="15.75" customHeight="1">
      <c r="A1641" s="83" t="s">
        <v>223</v>
      </c>
    </row>
    <row r="1642" ht="15.75" customHeight="1">
      <c r="A1642" s="83" t="s">
        <v>223</v>
      </c>
    </row>
    <row r="1643" ht="15.75" customHeight="1"/>
    <row r="1644" ht="15.75" customHeight="1">
      <c r="A1644" s="83" t="s">
        <v>1402</v>
      </c>
    </row>
    <row r="1645" ht="15.75" customHeight="1">
      <c r="A1645" s="83" t="s">
        <v>932</v>
      </c>
    </row>
    <row r="1646" ht="15.75" customHeight="1">
      <c r="A1646" s="83" t="s">
        <v>1403</v>
      </c>
    </row>
    <row r="1647" ht="15.75" customHeight="1">
      <c r="A1647" s="83" t="s">
        <v>955</v>
      </c>
    </row>
    <row r="1648" ht="15.75" customHeight="1">
      <c r="A1648" s="83" t="s">
        <v>1404</v>
      </c>
    </row>
    <row r="1649" ht="15.75" customHeight="1">
      <c r="A1649" s="83" t="s">
        <v>1405</v>
      </c>
    </row>
    <row r="1650" ht="15.75" customHeight="1">
      <c r="A1650" s="83" t="s">
        <v>1406</v>
      </c>
    </row>
    <row r="1651" ht="15.75" customHeight="1"/>
    <row r="1652" ht="15.75" customHeight="1">
      <c r="A1652" s="83" t="s">
        <v>1407</v>
      </c>
    </row>
    <row r="1653" ht="15.75" customHeight="1">
      <c r="A1653" s="83" t="s">
        <v>1098</v>
      </c>
    </row>
    <row r="1654" ht="15.75" customHeight="1"/>
    <row r="1655" ht="15.75" customHeight="1">
      <c r="A1655" s="83" t="s">
        <v>1408</v>
      </c>
    </row>
    <row r="1656" ht="15.75" customHeight="1">
      <c r="A1656" s="83" t="s">
        <v>1409</v>
      </c>
    </row>
    <row r="1657" ht="15.75" customHeight="1">
      <c r="A1657" s="83" t="s">
        <v>1410</v>
      </c>
    </row>
    <row r="1658" ht="15.75" customHeight="1">
      <c r="A1658" s="83" t="s">
        <v>1411</v>
      </c>
    </row>
    <row r="1659" ht="15.75" customHeight="1">
      <c r="A1659" s="83" t="s">
        <v>1412</v>
      </c>
    </row>
    <row r="1660" ht="15.75" customHeight="1">
      <c r="A1660" s="83" t="s">
        <v>223</v>
      </c>
    </row>
    <row r="1661" ht="15.75" customHeight="1">
      <c r="A1661" s="83" t="s">
        <v>223</v>
      </c>
    </row>
    <row r="1662" ht="15.75" customHeight="1">
      <c r="A1662" s="83" t="s">
        <v>1401</v>
      </c>
    </row>
    <row r="1663" ht="15.75" customHeight="1">
      <c r="A1663" s="83" t="s">
        <v>1406</v>
      </c>
    </row>
    <row r="1664" ht="15.75" customHeight="1">
      <c r="A1664" s="83" t="s">
        <v>1098</v>
      </c>
    </row>
    <row r="1665" ht="15.75" customHeight="1">
      <c r="A1665" s="83" t="s">
        <v>1409</v>
      </c>
    </row>
    <row r="1666" ht="15.75" customHeight="1">
      <c r="A1666" s="83" t="s">
        <v>1410</v>
      </c>
    </row>
    <row r="1667" ht="15.75" customHeight="1">
      <c r="A1667" s="83" t="s">
        <v>1411</v>
      </c>
    </row>
    <row r="1668" ht="15.75" customHeight="1">
      <c r="A1668" s="83" t="s">
        <v>1412</v>
      </c>
    </row>
    <row r="1669" ht="15.75" customHeight="1">
      <c r="A1669" s="83" t="s">
        <v>223</v>
      </c>
    </row>
    <row r="1670" ht="15.75" customHeight="1">
      <c r="A1670" s="83" t="s">
        <v>223</v>
      </c>
    </row>
    <row r="1671" ht="15.75" customHeight="1">
      <c r="A1671" s="83" t="s">
        <v>223</v>
      </c>
    </row>
    <row r="1672" ht="15.75" customHeight="1"/>
    <row r="1673" ht="15.75" customHeight="1">
      <c r="A1673" s="83" t="s">
        <v>1413</v>
      </c>
    </row>
    <row r="1674" ht="15.75" customHeight="1">
      <c r="A1674" s="83" t="s">
        <v>1414</v>
      </c>
    </row>
    <row r="1675" ht="15.75" customHeight="1">
      <c r="A1675" s="83" t="s">
        <v>1403</v>
      </c>
    </row>
    <row r="1676" ht="15.75" customHeight="1">
      <c r="A1676" s="83" t="s">
        <v>955</v>
      </c>
    </row>
    <row r="1677" ht="15.75" customHeight="1">
      <c r="A1677" s="83" t="s">
        <v>1404</v>
      </c>
    </row>
    <row r="1678" ht="15.75" customHeight="1">
      <c r="A1678" s="83" t="s">
        <v>1405</v>
      </c>
    </row>
    <row r="1679" ht="15.75" customHeight="1">
      <c r="A1679" s="83" t="s">
        <v>1415</v>
      </c>
    </row>
    <row r="1680" ht="15.75" customHeight="1">
      <c r="A1680" s="83" t="s">
        <v>223</v>
      </c>
    </row>
    <row r="1681" ht="15.75" customHeight="1">
      <c r="A1681" s="83" t="s">
        <v>1401</v>
      </c>
    </row>
    <row r="1682" ht="15.75" customHeight="1">
      <c r="A1682" s="83" t="s">
        <v>1415</v>
      </c>
    </row>
    <row r="1683" ht="15.75" customHeight="1">
      <c r="A1683" s="83" t="s">
        <v>223</v>
      </c>
    </row>
    <row r="1684" ht="15.75" customHeight="1">
      <c r="A1684" s="83" t="s">
        <v>223</v>
      </c>
    </row>
    <row r="1685" ht="15.75" customHeight="1"/>
    <row r="1686" ht="15.75" customHeight="1">
      <c r="A1686" s="83" t="s">
        <v>1416</v>
      </c>
    </row>
    <row r="1687" ht="15.75" customHeight="1">
      <c r="A1687" s="83" t="s">
        <v>1417</v>
      </c>
    </row>
    <row r="1688" ht="15.75" customHeight="1">
      <c r="A1688" s="83" t="s">
        <v>1418</v>
      </c>
    </row>
    <row r="1689" ht="15.75" customHeight="1">
      <c r="A1689" s="83" t="s">
        <v>1419</v>
      </c>
    </row>
    <row r="1690" ht="15.75" customHeight="1">
      <c r="A1690" s="83" t="s">
        <v>1420</v>
      </c>
    </row>
    <row r="1691" ht="15.75" customHeight="1">
      <c r="A1691" s="83" t="s">
        <v>1421</v>
      </c>
    </row>
    <row r="1692" ht="15.75" customHeight="1">
      <c r="A1692" s="83" t="s">
        <v>1422</v>
      </c>
    </row>
    <row r="1693" ht="15.75" customHeight="1">
      <c r="A1693" s="83" t="s">
        <v>223</v>
      </c>
    </row>
    <row r="1694" ht="15.75" customHeight="1">
      <c r="A1694" s="83" t="s">
        <v>1401</v>
      </c>
    </row>
    <row r="1695" ht="15.75" customHeight="1">
      <c r="A1695" s="83" t="s">
        <v>1422</v>
      </c>
    </row>
    <row r="1696" ht="15.75" customHeight="1">
      <c r="A1696" s="83" t="s">
        <v>223</v>
      </c>
    </row>
    <row r="1697" ht="15.75" customHeight="1">
      <c r="A1697" s="83" t="s">
        <v>223</v>
      </c>
    </row>
    <row r="1698" ht="15.75" customHeight="1">
      <c r="A1698" s="83" t="s">
        <v>223</v>
      </c>
    </row>
    <row r="1699" ht="15.75" customHeight="1">
      <c r="A1699" s="83" t="s">
        <v>223</v>
      </c>
    </row>
    <row r="1700" ht="15.75" customHeight="1"/>
    <row r="1701" ht="15.75" customHeight="1">
      <c r="A1701" s="83" t="s">
        <v>1423</v>
      </c>
    </row>
    <row r="1702" ht="15.75" customHeight="1">
      <c r="A1702" s="83" t="s">
        <v>1424</v>
      </c>
    </row>
    <row r="1703" ht="15.75" customHeight="1">
      <c r="A1703" s="83" t="s">
        <v>1425</v>
      </c>
    </row>
    <row r="1704" ht="15.75" customHeight="1">
      <c r="A1704" s="83" t="s">
        <v>1426</v>
      </c>
    </row>
    <row r="1705" ht="15.75" customHeight="1">
      <c r="A1705" s="83" t="s">
        <v>1427</v>
      </c>
    </row>
    <row r="1706" ht="15.75" customHeight="1">
      <c r="A1706" s="83" t="s">
        <v>1428</v>
      </c>
    </row>
    <row r="1707" ht="15.75" customHeight="1">
      <c r="A1707" s="83" t="s">
        <v>1429</v>
      </c>
    </row>
    <row r="1708" ht="15.75" customHeight="1">
      <c r="A1708" s="83" t="s">
        <v>1430</v>
      </c>
    </row>
    <row r="1709" ht="15.75" customHeight="1"/>
    <row r="1710" ht="15.75" customHeight="1">
      <c r="A1710" s="83" t="s">
        <v>1431</v>
      </c>
    </row>
    <row r="1711" ht="15.75" customHeight="1">
      <c r="A1711" s="83" t="s">
        <v>1432</v>
      </c>
    </row>
    <row r="1712" ht="15.75" customHeight="1"/>
    <row r="1713" ht="15.75" customHeight="1">
      <c r="A1713" s="83" t="s">
        <v>1433</v>
      </c>
    </row>
    <row r="1714" ht="15.75" customHeight="1">
      <c r="A1714" s="83" t="s">
        <v>1434</v>
      </c>
    </row>
    <row r="1715" ht="15.75" customHeight="1">
      <c r="A1715" s="83" t="s">
        <v>1435</v>
      </c>
    </row>
    <row r="1716" ht="15.75" customHeight="1">
      <c r="A1716" s="83" t="s">
        <v>1436</v>
      </c>
    </row>
    <row r="1717" ht="15.75" customHeight="1">
      <c r="A1717" s="83" t="s">
        <v>1437</v>
      </c>
    </row>
    <row r="1718" ht="15.75" customHeight="1"/>
    <row r="1719" ht="15.75" customHeight="1">
      <c r="A1719" s="83" t="s">
        <v>1438</v>
      </c>
    </row>
    <row r="1720" ht="15.75" customHeight="1">
      <c r="A1720" s="83" t="s">
        <v>1439</v>
      </c>
    </row>
    <row r="1721" ht="15.75" customHeight="1">
      <c r="A1721" s="83" t="s">
        <v>1440</v>
      </c>
    </row>
    <row r="1722" ht="15.75" customHeight="1">
      <c r="A1722" s="83" t="s">
        <v>824</v>
      </c>
    </row>
    <row r="1723" ht="15.75" customHeight="1">
      <c r="A1723" s="83" t="s">
        <v>1441</v>
      </c>
    </row>
    <row r="1724" ht="15.75" customHeight="1">
      <c r="A1724" s="83" t="s">
        <v>223</v>
      </c>
    </row>
    <row r="1725" ht="15.75" customHeight="1">
      <c r="A1725" s="83" t="s">
        <v>223</v>
      </c>
    </row>
    <row r="1726" ht="15.75" customHeight="1"/>
    <row r="1727" ht="15.75" customHeight="1">
      <c r="A1727" s="83" t="s">
        <v>1442</v>
      </c>
    </row>
    <row r="1728" ht="15.75" customHeight="1">
      <c r="A1728" s="83" t="s">
        <v>1443</v>
      </c>
    </row>
    <row r="1729" ht="15.75" customHeight="1">
      <c r="A1729" s="83" t="s">
        <v>1444</v>
      </c>
    </row>
    <row r="1730" ht="15.75" customHeight="1">
      <c r="A1730" s="83" t="s">
        <v>1445</v>
      </c>
    </row>
    <row r="1731" ht="15.75" customHeight="1">
      <c r="A1731" s="83" t="s">
        <v>1446</v>
      </c>
    </row>
    <row r="1732" ht="15.75" customHeight="1">
      <c r="A1732" s="83" t="s">
        <v>662</v>
      </c>
    </row>
    <row r="1733" ht="15.75" customHeight="1">
      <c r="A1733" s="83" t="s">
        <v>223</v>
      </c>
    </row>
    <row r="1734" ht="15.75" customHeight="1"/>
    <row r="1735" ht="15.75" customHeight="1">
      <c r="A1735" s="83" t="s">
        <v>1447</v>
      </c>
    </row>
    <row r="1736" ht="15.75" customHeight="1">
      <c r="A1736" s="83" t="s">
        <v>1448</v>
      </c>
    </row>
    <row r="1737" ht="15.75" customHeight="1">
      <c r="A1737" s="83" t="s">
        <v>479</v>
      </c>
    </row>
    <row r="1738" ht="15.75" customHeight="1">
      <c r="A1738" s="83" t="s">
        <v>1449</v>
      </c>
    </row>
    <row r="1739" ht="15.75" customHeight="1">
      <c r="A1739" s="83" t="s">
        <v>1450</v>
      </c>
    </row>
    <row r="1740" ht="15.75" customHeight="1">
      <c r="A1740" s="83" t="s">
        <v>528</v>
      </c>
    </row>
    <row r="1741" ht="15.75" customHeight="1">
      <c r="A1741" s="83" t="s">
        <v>1451</v>
      </c>
    </row>
    <row r="1742" ht="15.75" customHeight="1">
      <c r="A1742" s="83" t="s">
        <v>1452</v>
      </c>
    </row>
    <row r="1743" ht="15.75" customHeight="1">
      <c r="A1743" s="83" t="s">
        <v>223</v>
      </c>
    </row>
    <row r="1744" ht="15.75" customHeight="1">
      <c r="A1744" s="83" t="s">
        <v>223</v>
      </c>
    </row>
    <row r="1745" ht="15.75" customHeight="1"/>
    <row r="1746" ht="15.75" customHeight="1">
      <c r="A1746" s="83" t="s">
        <v>1453</v>
      </c>
    </row>
    <row r="1747" ht="15.75" customHeight="1">
      <c r="A1747" s="83" t="s">
        <v>1454</v>
      </c>
    </row>
    <row r="1748" ht="15.75" customHeight="1">
      <c r="A1748" s="83" t="s">
        <v>1455</v>
      </c>
    </row>
    <row r="1749" ht="15.75" customHeight="1"/>
    <row r="1750" ht="15.75" customHeight="1">
      <c r="A1750" s="83" t="s">
        <v>479</v>
      </c>
    </row>
    <row r="1751" ht="15.75" customHeight="1">
      <c r="A1751" s="83" t="s">
        <v>1456</v>
      </c>
    </row>
    <row r="1752" ht="15.75" customHeight="1">
      <c r="A1752" s="83" t="s">
        <v>1457</v>
      </c>
    </row>
    <row r="1753" ht="15.75" customHeight="1">
      <c r="A1753" s="83" t="s">
        <v>1458</v>
      </c>
    </row>
    <row r="1754" ht="15.75" customHeight="1">
      <c r="A1754" s="83" t="s">
        <v>1459</v>
      </c>
    </row>
    <row r="1755" ht="15.75" customHeight="1"/>
    <row r="1756" ht="15.75" customHeight="1">
      <c r="A1756" s="83" t="s">
        <v>1460</v>
      </c>
    </row>
    <row r="1757" ht="15.75" customHeight="1">
      <c r="A1757" s="83" t="s">
        <v>1461</v>
      </c>
    </row>
    <row r="1758" ht="15.75" customHeight="1">
      <c r="A1758" s="83" t="s">
        <v>1462</v>
      </c>
    </row>
    <row r="1759" ht="15.75" customHeight="1">
      <c r="A1759" s="83" t="s">
        <v>1463</v>
      </c>
    </row>
    <row r="1760" ht="15.75" customHeight="1">
      <c r="A1760" s="83" t="s">
        <v>1464</v>
      </c>
    </row>
    <row r="1761" ht="15.75" customHeight="1">
      <c r="A1761" s="83" t="s">
        <v>662</v>
      </c>
    </row>
    <row r="1762" ht="15.75" customHeight="1"/>
    <row r="1763" ht="15.75" customHeight="1">
      <c r="A1763" s="83" t="s">
        <v>1465</v>
      </c>
    </row>
    <row r="1764" ht="15.75" customHeight="1">
      <c r="A1764" s="83" t="s">
        <v>945</v>
      </c>
    </row>
    <row r="1765" ht="15.75" customHeight="1">
      <c r="A1765" s="83" t="s">
        <v>1466</v>
      </c>
    </row>
    <row r="1766" ht="15.75" customHeight="1">
      <c r="A1766" s="83" t="s">
        <v>1467</v>
      </c>
    </row>
    <row r="1767" ht="15.75" customHeight="1"/>
    <row r="1768" ht="15.75" customHeight="1">
      <c r="A1768" s="83" t="s">
        <v>1468</v>
      </c>
    </row>
    <row r="1769" ht="15.75" customHeight="1">
      <c r="A1769" s="83" t="s">
        <v>1469</v>
      </c>
    </row>
    <row r="1770" ht="15.75" customHeight="1">
      <c r="A1770" s="83" t="s">
        <v>1470</v>
      </c>
    </row>
    <row r="1771" ht="15.75" customHeight="1">
      <c r="A1771" s="83" t="s">
        <v>223</v>
      </c>
    </row>
    <row r="1772" ht="15.75" customHeight="1">
      <c r="A1772" s="83" t="s">
        <v>223</v>
      </c>
    </row>
    <row r="1773" ht="15.75" customHeight="1">
      <c r="A1773" s="83" t="s">
        <v>223</v>
      </c>
    </row>
    <row r="1774" ht="15.75" customHeight="1">
      <c r="A1774" s="83" t="s">
        <v>223</v>
      </c>
    </row>
    <row r="1775" ht="15.75" customHeight="1">
      <c r="A1775" s="83" t="s">
        <v>528</v>
      </c>
    </row>
    <row r="1776" ht="15.75" customHeight="1">
      <c r="A1776" s="83" t="s">
        <v>1471</v>
      </c>
    </row>
    <row r="1777" ht="15.75" customHeight="1">
      <c r="A1777" s="83" t="s">
        <v>223</v>
      </c>
    </row>
    <row r="1778" ht="15.75" customHeight="1"/>
    <row r="1779" ht="15.75" customHeight="1">
      <c r="A1779" s="83" t="s">
        <v>1472</v>
      </c>
    </row>
    <row r="1780" ht="15.75" customHeight="1">
      <c r="A1780" s="83" t="s">
        <v>223</v>
      </c>
    </row>
    <row r="1781" ht="15.75" customHeight="1"/>
    <row r="1782" ht="15.75" customHeight="1">
      <c r="A1782" s="83" t="s">
        <v>1473</v>
      </c>
    </row>
    <row r="1783" ht="15.75" customHeight="1">
      <c r="A1783" s="83" t="s">
        <v>1474</v>
      </c>
    </row>
    <row r="1784" ht="15.75" customHeight="1">
      <c r="A1784" s="83" t="s">
        <v>1475</v>
      </c>
    </row>
    <row r="1785" ht="15.75" customHeight="1"/>
    <row r="1786" ht="15.75" customHeight="1">
      <c r="A1786" s="83" t="s">
        <v>479</v>
      </c>
    </row>
    <row r="1787" ht="15.75" customHeight="1">
      <c r="A1787" s="83" t="s">
        <v>1456</v>
      </c>
    </row>
    <row r="1788" ht="15.75" customHeight="1">
      <c r="A1788" s="83" t="s">
        <v>1457</v>
      </c>
    </row>
    <row r="1789" ht="15.75" customHeight="1">
      <c r="A1789" s="83" t="s">
        <v>1458</v>
      </c>
    </row>
    <row r="1790" ht="15.75" customHeight="1">
      <c r="A1790" s="83" t="s">
        <v>1459</v>
      </c>
    </row>
    <row r="1791" ht="15.75" customHeight="1"/>
    <row r="1792" ht="15.75" customHeight="1">
      <c r="A1792" s="83" t="s">
        <v>1476</v>
      </c>
    </row>
    <row r="1793" ht="15.75" customHeight="1">
      <c r="A1793" s="83" t="s">
        <v>1461</v>
      </c>
    </row>
    <row r="1794" ht="15.75" customHeight="1">
      <c r="A1794" s="83" t="s">
        <v>1477</v>
      </c>
    </row>
    <row r="1795" ht="15.75" customHeight="1">
      <c r="A1795" s="83" t="s">
        <v>1463</v>
      </c>
    </row>
    <row r="1796" ht="15.75" customHeight="1">
      <c r="A1796" s="83" t="s">
        <v>1478</v>
      </c>
    </row>
    <row r="1797" ht="15.75" customHeight="1">
      <c r="A1797" s="83" t="s">
        <v>662</v>
      </c>
    </row>
    <row r="1798" ht="15.75" customHeight="1"/>
    <row r="1799" ht="15.75" customHeight="1">
      <c r="A1799" s="83" t="s">
        <v>1479</v>
      </c>
    </row>
    <row r="1800" ht="15.75" customHeight="1">
      <c r="A1800" s="83" t="s">
        <v>945</v>
      </c>
    </row>
    <row r="1801" ht="15.75" customHeight="1">
      <c r="A1801" s="83" t="s">
        <v>1466</v>
      </c>
    </row>
    <row r="1802" ht="15.75" customHeight="1">
      <c r="A1802" s="83" t="s">
        <v>1480</v>
      </c>
    </row>
    <row r="1803" ht="15.75" customHeight="1"/>
    <row r="1804" ht="15.75" customHeight="1">
      <c r="A1804" s="83" t="s">
        <v>1481</v>
      </c>
    </row>
    <row r="1805" ht="15.75" customHeight="1">
      <c r="A1805" s="83" t="s">
        <v>1482</v>
      </c>
    </row>
    <row r="1806" ht="15.75" customHeight="1">
      <c r="A1806" s="83" t="s">
        <v>223</v>
      </c>
    </row>
    <row r="1807" ht="15.75" customHeight="1">
      <c r="A1807" s="83" t="s">
        <v>223</v>
      </c>
    </row>
    <row r="1808" ht="15.75" customHeight="1">
      <c r="A1808" s="83" t="s">
        <v>223</v>
      </c>
    </row>
    <row r="1809" ht="15.75" customHeight="1">
      <c r="A1809" s="83" t="s">
        <v>223</v>
      </c>
    </row>
    <row r="1810" ht="15.75" customHeight="1">
      <c r="A1810" s="83" t="s">
        <v>528</v>
      </c>
    </row>
    <row r="1811" ht="15.75" customHeight="1">
      <c r="A1811" s="83" t="s">
        <v>1483</v>
      </c>
    </row>
    <row r="1812" ht="15.75" customHeight="1">
      <c r="A1812" s="83" t="s">
        <v>223</v>
      </c>
    </row>
    <row r="1813" ht="15.75" customHeight="1"/>
    <row r="1814" ht="15.75" customHeight="1">
      <c r="A1814" s="83" t="s">
        <v>1484</v>
      </c>
    </row>
    <row r="1815" ht="15.75" customHeight="1">
      <c r="A1815" s="83" t="s">
        <v>223</v>
      </c>
    </row>
    <row r="1816" ht="15.75" customHeight="1"/>
    <row r="1817" ht="15.75" customHeight="1">
      <c r="A1817" s="83" t="s">
        <v>1485</v>
      </c>
    </row>
    <row r="1818" ht="15.75" customHeight="1">
      <c r="A1818" s="83" t="s">
        <v>1360</v>
      </c>
    </row>
    <row r="1819" ht="15.75" customHeight="1">
      <c r="A1819" s="83" t="s">
        <v>1361</v>
      </c>
    </row>
    <row r="1820" ht="15.75" customHeight="1"/>
    <row r="1821" ht="15.75" customHeight="1">
      <c r="A1821" s="83" t="s">
        <v>1363</v>
      </c>
    </row>
    <row r="1822" ht="15.75" customHeight="1">
      <c r="A1822" s="83" t="s">
        <v>1364</v>
      </c>
    </row>
    <row r="1823" ht="15.75" customHeight="1">
      <c r="A1823" s="83" t="s">
        <v>223</v>
      </c>
    </row>
    <row r="1824" ht="15.75" customHeight="1"/>
    <row r="1825" ht="15.75" customHeight="1">
      <c r="A1825" s="83" t="s">
        <v>1371</v>
      </c>
    </row>
    <row r="1826" ht="15.75" customHeight="1">
      <c r="A1826" s="83" t="s">
        <v>1372</v>
      </c>
    </row>
    <row r="1827" ht="15.75" customHeight="1"/>
    <row r="1828" ht="15.75" customHeight="1">
      <c r="A1828" s="83" t="s">
        <v>1486</v>
      </c>
    </row>
    <row r="1829" ht="15.75" customHeight="1">
      <c r="A1829" s="83" t="s">
        <v>1487</v>
      </c>
    </row>
    <row r="1830" ht="15.75" customHeight="1">
      <c r="A1830" s="83" t="s">
        <v>1488</v>
      </c>
    </row>
    <row r="1831" ht="15.75" customHeight="1"/>
    <row r="1832" ht="15.75" customHeight="1">
      <c r="A1832" s="83" t="s">
        <v>1489</v>
      </c>
    </row>
    <row r="1833" ht="15.75" customHeight="1">
      <c r="A1833" s="83" t="s">
        <v>945</v>
      </c>
    </row>
    <row r="1834" ht="15.75" customHeight="1">
      <c r="A1834" s="83" t="s">
        <v>1062</v>
      </c>
    </row>
    <row r="1835" ht="15.75" customHeight="1">
      <c r="A1835" s="83" t="s">
        <v>1120</v>
      </c>
    </row>
    <row r="1836" ht="15.75" customHeight="1"/>
    <row r="1837" ht="15.75" customHeight="1">
      <c r="A1837" s="83" t="s">
        <v>888</v>
      </c>
    </row>
    <row r="1838" ht="15.75" customHeight="1">
      <c r="A1838" s="83" t="s">
        <v>889</v>
      </c>
    </row>
    <row r="1839" ht="15.75" customHeight="1">
      <c r="A1839" s="83" t="s">
        <v>1192</v>
      </c>
    </row>
    <row r="1840" ht="15.75" customHeight="1">
      <c r="A1840" s="83" t="s">
        <v>900</v>
      </c>
    </row>
    <row r="1841" ht="15.75" customHeight="1">
      <c r="A1841" s="83" t="s">
        <v>1189</v>
      </c>
    </row>
    <row r="1842" ht="15.75" customHeight="1">
      <c r="A1842" s="83" t="s">
        <v>1190</v>
      </c>
    </row>
    <row r="1843" ht="15.75" customHeight="1">
      <c r="A1843" s="83" t="s">
        <v>1191</v>
      </c>
    </row>
    <row r="1844" ht="15.75" customHeight="1"/>
    <row r="1845" ht="15.75" customHeight="1">
      <c r="A1845" s="83" t="s">
        <v>1490</v>
      </c>
    </row>
    <row r="1846" ht="15.75" customHeight="1">
      <c r="A1846" s="83" t="s">
        <v>1491</v>
      </c>
    </row>
    <row r="1847" ht="15.75" customHeight="1">
      <c r="A1847" s="83" t="s">
        <v>1800</v>
      </c>
    </row>
    <row r="1848" ht="15.75" customHeight="1"/>
    <row r="1849" ht="15.75" customHeight="1">
      <c r="A1849" s="83" t="s">
        <v>891</v>
      </c>
    </row>
    <row r="1850" ht="15.75" customHeight="1">
      <c r="A1850" s="83" t="s">
        <v>1503</v>
      </c>
    </row>
    <row r="1851" ht="15.75" customHeight="1">
      <c r="A1851" s="83" t="s">
        <v>1504</v>
      </c>
    </row>
    <row r="1852" ht="15.75" customHeight="1">
      <c r="A1852" s="83" t="s">
        <v>1505</v>
      </c>
    </row>
    <row r="1853" ht="15.75" customHeight="1">
      <c r="A1853" s="83" t="s">
        <v>1506</v>
      </c>
    </row>
    <row r="1854" ht="15.75" customHeight="1">
      <c r="A1854" s="83" t="s">
        <v>1801</v>
      </c>
    </row>
    <row r="1855" ht="15.75" customHeight="1">
      <c r="A1855" s="83" t="s">
        <v>220</v>
      </c>
    </row>
    <row r="1856" ht="15.75" customHeight="1">
      <c r="A1856" s="83" t="s">
        <v>1196</v>
      </c>
    </row>
    <row r="1857" ht="15.75" customHeight="1">
      <c r="A1857" s="83" t="s">
        <v>1509</v>
      </c>
    </row>
    <row r="1858" ht="15.75" customHeight="1">
      <c r="A1858" s="83" t="s">
        <v>1504</v>
      </c>
    </row>
    <row r="1859" ht="15.75" customHeight="1">
      <c r="A1859" s="83" t="s">
        <v>1505</v>
      </c>
    </row>
    <row r="1860" ht="15.75" customHeight="1">
      <c r="A1860" s="83" t="s">
        <v>1506</v>
      </c>
    </row>
    <row r="1861" ht="15.75" customHeight="1">
      <c r="A1861" s="83" t="s">
        <v>1802</v>
      </c>
    </row>
    <row r="1862" ht="15.75" customHeight="1">
      <c r="A1862" s="83" t="s">
        <v>220</v>
      </c>
    </row>
    <row r="1863" ht="15.75" customHeight="1">
      <c r="A1863" s="83" t="s">
        <v>1199</v>
      </c>
    </row>
    <row r="1864" ht="15.75" customHeight="1">
      <c r="A1864" s="83" t="s">
        <v>1803</v>
      </c>
    </row>
    <row r="1865" ht="15.75" customHeight="1">
      <c r="A1865" s="83" t="s">
        <v>1504</v>
      </c>
    </row>
    <row r="1866" ht="15.75" customHeight="1">
      <c r="A1866" s="83" t="s">
        <v>1505</v>
      </c>
    </row>
    <row r="1867" ht="15.75" customHeight="1">
      <c r="A1867" s="83" t="s">
        <v>1506</v>
      </c>
    </row>
    <row r="1868" ht="15.75" customHeight="1">
      <c r="A1868" s="83" t="s">
        <v>1802</v>
      </c>
    </row>
    <row r="1869" ht="15.75" customHeight="1">
      <c r="A1869" s="83" t="s">
        <v>220</v>
      </c>
    </row>
    <row r="1870" ht="15.75" customHeight="1">
      <c r="A1870" s="83" t="s">
        <v>223</v>
      </c>
    </row>
    <row r="1871" ht="15.75" customHeight="1"/>
    <row r="1872" ht="15.75" customHeight="1">
      <c r="A1872" s="83" t="s">
        <v>1516</v>
      </c>
    </row>
    <row r="1873" ht="15.75" customHeight="1">
      <c r="A1873" s="83" t="s">
        <v>1517</v>
      </c>
    </row>
    <row r="1874" ht="15.75" customHeight="1">
      <c r="A1874" s="83" t="s">
        <v>1518</v>
      </c>
    </row>
    <row r="1875" ht="15.75" customHeight="1">
      <c r="A1875" s="83" t="s">
        <v>1519</v>
      </c>
    </row>
    <row r="1876" ht="15.75" customHeight="1">
      <c r="A1876" s="83" t="s">
        <v>223</v>
      </c>
    </row>
    <row r="1877" ht="15.75" customHeight="1">
      <c r="A1877" s="83" t="s">
        <v>223</v>
      </c>
    </row>
    <row r="1878" ht="15.75" customHeight="1"/>
    <row r="1879" ht="15.75" customHeight="1">
      <c r="A1879" s="83" t="s">
        <v>1520</v>
      </c>
    </row>
    <row r="1880" ht="15.75" customHeight="1">
      <c r="A1880" s="83" t="s">
        <v>1521</v>
      </c>
    </row>
    <row r="1881" ht="15.75" customHeight="1">
      <c r="A1881" s="83" t="s">
        <v>1522</v>
      </c>
    </row>
    <row r="1882" ht="15.75" customHeight="1">
      <c r="A1882" s="83" t="s">
        <v>1523</v>
      </c>
    </row>
    <row r="1883" ht="15.75" customHeight="1"/>
    <row r="1884" ht="15.75" customHeight="1">
      <c r="A1884" s="83" t="s">
        <v>1524</v>
      </c>
    </row>
    <row r="1885" ht="15.75" customHeight="1">
      <c r="A1885" s="83" t="s">
        <v>1525</v>
      </c>
    </row>
    <row r="1886" ht="15.75" customHeight="1">
      <c r="A1886" s="83" t="s">
        <v>1526</v>
      </c>
    </row>
    <row r="1887" ht="15.75" customHeight="1">
      <c r="A1887" s="83" t="s">
        <v>1527</v>
      </c>
    </row>
    <row r="1888" ht="15.75" customHeight="1"/>
    <row r="1889" ht="15.75" customHeight="1">
      <c r="A1889" s="83" t="s">
        <v>1528</v>
      </c>
    </row>
    <row r="1890" ht="15.75" customHeight="1">
      <c r="A1890" s="83" t="s">
        <v>1529</v>
      </c>
    </row>
    <row r="1891" ht="15.75" customHeight="1">
      <c r="A1891" s="83" t="s">
        <v>1530</v>
      </c>
    </row>
    <row r="1892" ht="15.75" customHeight="1">
      <c r="A1892" s="83" t="s">
        <v>1531</v>
      </c>
    </row>
    <row r="1893" ht="15.75" customHeight="1">
      <c r="A1893" s="83" t="s">
        <v>1532</v>
      </c>
    </row>
    <row r="1894" ht="15.75" customHeight="1">
      <c r="A1894" s="83" t="s">
        <v>1533</v>
      </c>
    </row>
    <row r="1895" ht="15.75" customHeight="1">
      <c r="A1895" s="83" t="s">
        <v>1804</v>
      </c>
    </row>
    <row r="1896" ht="15.75" customHeight="1">
      <c r="A1896" s="83" t="s">
        <v>662</v>
      </c>
    </row>
    <row r="1897" ht="15.75" customHeight="1">
      <c r="A1897" s="83" t="s">
        <v>824</v>
      </c>
    </row>
    <row r="1898" ht="15.75" customHeight="1">
      <c r="A1898" s="83" t="s">
        <v>1535</v>
      </c>
    </row>
    <row r="1899" ht="15.75" customHeight="1">
      <c r="A1899" s="83" t="s">
        <v>1530</v>
      </c>
    </row>
    <row r="1900" ht="15.75" customHeight="1">
      <c r="A1900" s="83" t="s">
        <v>1531</v>
      </c>
    </row>
    <row r="1901" ht="15.75" customHeight="1">
      <c r="A1901" s="83" t="s">
        <v>1532</v>
      </c>
    </row>
    <row r="1902" ht="15.75" customHeight="1">
      <c r="A1902" s="83" t="s">
        <v>1537</v>
      </c>
    </row>
    <row r="1903" ht="15.75" customHeight="1">
      <c r="A1903" s="83" t="s">
        <v>1805</v>
      </c>
    </row>
    <row r="1904" ht="15.75" customHeight="1">
      <c r="A1904" s="83" t="s">
        <v>662</v>
      </c>
    </row>
    <row r="1905" ht="15.75" customHeight="1">
      <c r="A1905" s="83" t="s">
        <v>223</v>
      </c>
    </row>
    <row r="1906" ht="15.75" customHeight="1">
      <c r="A1906" s="83" t="s">
        <v>223</v>
      </c>
    </row>
    <row r="1907" ht="15.75" customHeight="1"/>
    <row r="1908" ht="15.75" customHeight="1">
      <c r="A1908" s="83" t="s">
        <v>1539</v>
      </c>
    </row>
    <row r="1909" ht="15.75" customHeight="1">
      <c r="A1909" s="83" t="s">
        <v>1540</v>
      </c>
    </row>
    <row r="1910" ht="15.75" customHeight="1">
      <c r="A1910" s="83" t="s">
        <v>1541</v>
      </c>
    </row>
    <row r="1911" ht="15.75" customHeight="1">
      <c r="A1911" s="83" t="s">
        <v>1542</v>
      </c>
    </row>
    <row r="1912" ht="15.75" customHeight="1">
      <c r="A1912" s="83" t="s">
        <v>1543</v>
      </c>
    </row>
    <row r="1913" ht="15.75" customHeight="1">
      <c r="A1913" s="83" t="s">
        <v>1544</v>
      </c>
    </row>
    <row r="1914" ht="15.75" customHeight="1">
      <c r="A1914" s="83" t="s">
        <v>1545</v>
      </c>
    </row>
    <row r="1915" ht="15.75" customHeight="1">
      <c r="A1915" s="83" t="s">
        <v>220</v>
      </c>
    </row>
    <row r="1916" ht="15.75" customHeight="1"/>
    <row r="1917" ht="15.75" customHeight="1">
      <c r="A1917" s="83" t="s">
        <v>1570</v>
      </c>
    </row>
    <row r="1918" ht="15.75" customHeight="1">
      <c r="A1918" s="83" t="s">
        <v>1571</v>
      </c>
    </row>
    <row r="1919" ht="15.75" customHeight="1">
      <c r="A1919" s="83" t="s">
        <v>662</v>
      </c>
    </row>
    <row r="1920" ht="15.75" customHeight="1"/>
    <row r="1921" ht="15.75" customHeight="1">
      <c r="A1921" s="83" t="s">
        <v>1072</v>
      </c>
    </row>
    <row r="1922" ht="15.75" customHeight="1">
      <c r="A1922" s="83" t="s">
        <v>1572</v>
      </c>
    </row>
    <row r="1923" ht="15.75" customHeight="1">
      <c r="A1923" s="83" t="s">
        <v>1573</v>
      </c>
    </row>
    <row r="1924" ht="15.75" customHeight="1">
      <c r="A1924" s="83" t="s">
        <v>1806</v>
      </c>
    </row>
    <row r="1925" ht="15.75" customHeight="1">
      <c r="A1925" s="83" t="s">
        <v>220</v>
      </c>
    </row>
    <row r="1926" ht="15.75" customHeight="1">
      <c r="A1926" s="83" t="s">
        <v>223</v>
      </c>
    </row>
    <row r="1927" ht="15.75" customHeight="1"/>
    <row r="1928" ht="15.75" customHeight="1">
      <c r="A1928" s="83" t="s">
        <v>1577</v>
      </c>
    </row>
    <row r="1929" ht="15.75" customHeight="1">
      <c r="A1929" s="83" t="s">
        <v>1807</v>
      </c>
    </row>
    <row r="1930" ht="15.75" customHeight="1">
      <c r="A1930" s="83" t="s">
        <v>1581</v>
      </c>
    </row>
    <row r="1931" ht="15.75" customHeight="1">
      <c r="A1931" s="83" t="s">
        <v>1808</v>
      </c>
    </row>
    <row r="1932" ht="15.75" customHeight="1">
      <c r="A1932" s="83" t="s">
        <v>1585</v>
      </c>
    </row>
    <row r="1933" ht="15.75" customHeight="1">
      <c r="A1933" s="83" t="s">
        <v>1586</v>
      </c>
    </row>
    <row r="1934" ht="15.75" customHeight="1">
      <c r="A1934" s="83" t="s">
        <v>1587</v>
      </c>
    </row>
    <row r="1935" ht="15.75" customHeight="1">
      <c r="A1935" s="83" t="s">
        <v>1588</v>
      </c>
    </row>
    <row r="1936" ht="15.75" customHeight="1">
      <c r="A1936" s="83" t="s">
        <v>1589</v>
      </c>
    </row>
    <row r="1937" ht="15.75" customHeight="1">
      <c r="A1937" s="83" t="s">
        <v>1590</v>
      </c>
    </row>
    <row r="1938" ht="15.75" customHeight="1">
      <c r="A1938" s="83" t="s">
        <v>1591</v>
      </c>
    </row>
    <row r="1939" ht="15.75" customHeight="1">
      <c r="A1939" s="83" t="s">
        <v>1809</v>
      </c>
    </row>
    <row r="1940" ht="15.75" customHeight="1">
      <c r="A1940" s="83" t="s">
        <v>1594</v>
      </c>
    </row>
    <row r="1941" ht="15.75" customHeight="1">
      <c r="A1941" s="83" t="s">
        <v>1596</v>
      </c>
    </row>
    <row r="1942" ht="15.75" customHeight="1">
      <c r="A1942" s="83" t="s">
        <v>1597</v>
      </c>
    </row>
    <row r="1943" ht="15.75" customHeight="1">
      <c r="A1943" s="83" t="s">
        <v>1598</v>
      </c>
    </row>
    <row r="1944" ht="15.75" customHeight="1">
      <c r="A1944" s="83" t="s">
        <v>1599</v>
      </c>
    </row>
    <row r="1945" ht="15.75" customHeight="1">
      <c r="A1945" s="83" t="s">
        <v>1600</v>
      </c>
    </row>
    <row r="1946" ht="15.75" customHeight="1">
      <c r="A1946" s="83" t="s">
        <v>1601</v>
      </c>
    </row>
    <row r="1947" ht="15.75" customHeight="1">
      <c r="A1947" s="83" t="s">
        <v>1602</v>
      </c>
    </row>
    <row r="1948" ht="15.75" customHeight="1">
      <c r="A1948" s="83" t="s">
        <v>1603</v>
      </c>
    </row>
    <row r="1949" ht="15.75" customHeight="1">
      <c r="A1949" s="83" t="s">
        <v>1810</v>
      </c>
    </row>
    <row r="1950" ht="15.75" customHeight="1"/>
    <row r="1951" ht="15.75" customHeight="1">
      <c r="A1951" s="83" t="s">
        <v>1811</v>
      </c>
    </row>
    <row r="1952" ht="15.75" customHeight="1"/>
    <row r="1953" ht="15.75" customHeight="1">
      <c r="A1953" s="83" t="s">
        <v>1672</v>
      </c>
    </row>
    <row r="1954" ht="15.75" customHeight="1">
      <c r="A1954" s="83" t="s">
        <v>1673</v>
      </c>
    </row>
    <row r="1955" ht="15.75" customHeight="1">
      <c r="A1955" s="83" t="s">
        <v>1674</v>
      </c>
    </row>
    <row r="1956" ht="15.75" customHeight="1">
      <c r="A1956" s="83" t="s">
        <v>1675</v>
      </c>
    </row>
    <row r="1957" ht="15.75" customHeight="1">
      <c r="A1957" s="83" t="s">
        <v>1676</v>
      </c>
    </row>
    <row r="1958" ht="15.75" customHeight="1">
      <c r="A1958" s="83" t="s">
        <v>1677</v>
      </c>
    </row>
    <row r="1959" ht="15.75" customHeight="1">
      <c r="A1959" s="83" t="s">
        <v>1678</v>
      </c>
    </row>
    <row r="1960" ht="15.75" customHeight="1">
      <c r="A1960" s="83" t="s">
        <v>1681</v>
      </c>
    </row>
    <row r="1961" ht="15.75" customHeight="1"/>
    <row r="1962" ht="15.75" customHeight="1">
      <c r="A1962" s="83" t="s">
        <v>1682</v>
      </c>
    </row>
    <row r="1963" ht="15.75" customHeight="1">
      <c r="A1963" s="83" t="s">
        <v>1683</v>
      </c>
    </row>
    <row r="1964" ht="15.75" customHeight="1"/>
    <row r="1965" ht="15.75" customHeight="1">
      <c r="A1965" s="83" t="s">
        <v>1684</v>
      </c>
    </row>
    <row r="1966" ht="15.75" customHeight="1">
      <c r="A1966" s="83" t="s">
        <v>1685</v>
      </c>
    </row>
    <row r="1967" ht="15.75" customHeight="1">
      <c r="A1967" s="83" t="s">
        <v>1686</v>
      </c>
    </row>
    <row r="1968" ht="15.75" customHeight="1"/>
    <row r="1969" ht="15.75" customHeight="1">
      <c r="A1969" s="83" t="s">
        <v>1687</v>
      </c>
    </row>
    <row r="1970" ht="15.75" customHeight="1">
      <c r="A1970" s="83" t="s">
        <v>1688</v>
      </c>
    </row>
    <row r="1971" ht="15.75" customHeight="1">
      <c r="A1971" s="83" t="s">
        <v>1689</v>
      </c>
    </row>
    <row r="1972" ht="15.75" customHeight="1">
      <c r="A1972" s="83" t="s">
        <v>1690</v>
      </c>
    </row>
    <row r="1973" ht="15.75" customHeight="1">
      <c r="A1973" s="83" t="s">
        <v>223</v>
      </c>
    </row>
    <row r="1974" ht="15.75" customHeight="1"/>
    <row r="1975" ht="15.75" customHeight="1">
      <c r="A1975" s="83" t="s">
        <v>1691</v>
      </c>
    </row>
    <row r="1976" ht="15.75" customHeight="1">
      <c r="A1976" s="83" t="s">
        <v>1692</v>
      </c>
    </row>
    <row r="1977" ht="15.75" customHeight="1">
      <c r="A1977" s="83" t="s">
        <v>1812</v>
      </c>
    </row>
    <row r="1978" ht="15.75" customHeight="1">
      <c r="A1978" s="83" t="s">
        <v>1813</v>
      </c>
    </row>
    <row r="1979" ht="15.75" customHeight="1">
      <c r="A1979" s="83" t="s">
        <v>223</v>
      </c>
    </row>
    <row r="1980" ht="15.75" customHeight="1">
      <c r="A1980" s="83" t="s">
        <v>1814</v>
      </c>
    </row>
    <row r="1981" ht="15.75" customHeight="1">
      <c r="A1981" s="83" t="s">
        <v>1815</v>
      </c>
    </row>
    <row r="1982" ht="15.75" customHeight="1">
      <c r="A1982" s="83" t="s">
        <v>223</v>
      </c>
    </row>
    <row r="1983" ht="15.75" customHeight="1">
      <c r="A1983" s="83" t="s">
        <v>1681</v>
      </c>
    </row>
    <row r="1984" ht="15.75" customHeight="1">
      <c r="A1984" s="83" t="s">
        <v>662</v>
      </c>
    </row>
    <row r="1985" ht="15.75" customHeight="1"/>
    <row r="1986" ht="15.75" customHeight="1">
      <c r="A1986" s="83" t="s">
        <v>1681</v>
      </c>
    </row>
    <row r="1987" ht="15.75" customHeight="1"/>
    <row r="1988" ht="15.75" customHeight="1">
      <c r="A1988" s="83" t="s">
        <v>1695</v>
      </c>
    </row>
    <row r="1989" ht="15.75" customHeight="1">
      <c r="A1989" s="83" t="s">
        <v>1696</v>
      </c>
    </row>
    <row r="1990" ht="15.75" customHeight="1">
      <c r="A1990" s="83" t="s">
        <v>1697</v>
      </c>
    </row>
    <row r="1991" ht="15.75" customHeight="1">
      <c r="A1991" s="83" t="s">
        <v>1698</v>
      </c>
    </row>
    <row r="1992" ht="15.75" customHeight="1">
      <c r="A1992" s="83" t="s">
        <v>1816</v>
      </c>
    </row>
    <row r="1993" ht="15.75" customHeight="1">
      <c r="A1993" s="83" t="s">
        <v>1700</v>
      </c>
    </row>
    <row r="1994" ht="15.75" customHeight="1">
      <c r="A1994" s="83" t="s">
        <v>1701</v>
      </c>
    </row>
    <row r="1995" ht="15.75" customHeight="1">
      <c r="A1995" s="83" t="s">
        <v>1681</v>
      </c>
    </row>
    <row r="1996" ht="15.75" customHeight="1"/>
    <row r="1997" ht="15.75" customHeight="1">
      <c r="A1997" s="83" t="s">
        <v>1164</v>
      </c>
    </row>
    <row r="1998" ht="15.75" customHeight="1"/>
    <row r="1999" ht="15.75" customHeight="1">
      <c r="A1999" s="83" t="s">
        <v>1702</v>
      </c>
    </row>
    <row r="2000" ht="15.75" customHeight="1">
      <c r="A2000" s="83" t="s">
        <v>1703</v>
      </c>
    </row>
    <row r="2001" ht="15.75" customHeight="1">
      <c r="A2001" s="83" t="s">
        <v>223</v>
      </c>
    </row>
    <row r="2002" ht="15.75" customHeight="1"/>
    <row r="2003" ht="15.75" customHeight="1">
      <c r="A2003" s="83" t="s">
        <v>1704</v>
      </c>
    </row>
    <row r="2004" ht="15.75" customHeight="1">
      <c r="A2004" s="83" t="s">
        <v>1705</v>
      </c>
    </row>
    <row r="2005" ht="15.75" customHeight="1">
      <c r="A2005" s="83" t="s">
        <v>479</v>
      </c>
    </row>
    <row r="2006" ht="15.75" customHeight="1">
      <c r="A2006" s="83" t="s">
        <v>1360</v>
      </c>
    </row>
    <row r="2007" ht="15.75" customHeight="1">
      <c r="A2007" s="83" t="s">
        <v>1706</v>
      </c>
    </row>
    <row r="2008" ht="15.75" customHeight="1"/>
    <row r="2009" ht="15.75" customHeight="1">
      <c r="A2009" s="83" t="s">
        <v>1707</v>
      </c>
    </row>
    <row r="2010" ht="15.75" customHeight="1">
      <c r="A2010" s="83" t="s">
        <v>1708</v>
      </c>
    </row>
    <row r="2011" ht="15.75" customHeight="1">
      <c r="A2011" s="83" t="s">
        <v>1709</v>
      </c>
    </row>
    <row r="2012" ht="15.75" customHeight="1">
      <c r="A2012" s="83" t="s">
        <v>1710</v>
      </c>
    </row>
    <row r="2013" ht="15.75" customHeight="1">
      <c r="A2013" s="83" t="s">
        <v>1711</v>
      </c>
    </row>
    <row r="2014" ht="15.75" customHeight="1">
      <c r="A2014" s="83" t="s">
        <v>1712</v>
      </c>
    </row>
    <row r="2015" ht="15.75" customHeight="1">
      <c r="A2015" s="83" t="s">
        <v>1713</v>
      </c>
    </row>
    <row r="2016" ht="15.75" customHeight="1"/>
    <row r="2017" ht="15.75" customHeight="1">
      <c r="A2017" s="83" t="s">
        <v>1714</v>
      </c>
    </row>
    <row r="2018" ht="15.75" customHeight="1">
      <c r="A2018" s="83" t="s">
        <v>1715</v>
      </c>
    </row>
    <row r="2019" ht="15.75" customHeight="1">
      <c r="A2019" s="83" t="s">
        <v>1525</v>
      </c>
    </row>
    <row r="2020" ht="15.75" customHeight="1">
      <c r="A2020" s="83" t="s">
        <v>1716</v>
      </c>
    </row>
    <row r="2021" ht="15.75" customHeight="1">
      <c r="A2021" s="83" t="s">
        <v>223</v>
      </c>
    </row>
    <row r="2022" ht="15.75" customHeight="1">
      <c r="A2022" s="83" t="s">
        <v>1717</v>
      </c>
    </row>
    <row r="2023" ht="15.75" customHeight="1">
      <c r="A2023" s="83" t="s">
        <v>1718</v>
      </c>
    </row>
    <row r="2024" ht="15.75" customHeight="1">
      <c r="A2024" s="83" t="s">
        <v>223</v>
      </c>
    </row>
    <row r="2025" ht="15.75" customHeight="1"/>
    <row r="2026" ht="15.75" customHeight="1">
      <c r="A2026" s="83" t="s">
        <v>1719</v>
      </c>
    </row>
    <row r="2027" ht="15.75" customHeight="1">
      <c r="A2027" s="83" t="s">
        <v>1720</v>
      </c>
    </row>
    <row r="2028" ht="15.75" customHeight="1">
      <c r="A2028" s="83" t="s">
        <v>1721</v>
      </c>
    </row>
    <row r="2029" ht="15.75" customHeight="1">
      <c r="A2029" s="83" t="s">
        <v>1722</v>
      </c>
    </row>
    <row r="2030" ht="15.75" customHeight="1">
      <c r="A2030" s="83" t="s">
        <v>1723</v>
      </c>
    </row>
    <row r="2031" ht="15.75" customHeight="1">
      <c r="A2031" s="83" t="s">
        <v>1724</v>
      </c>
    </row>
    <row r="2032" ht="15.75" customHeight="1"/>
    <row r="2033" ht="15.75" customHeight="1">
      <c r="A2033" s="83" t="s">
        <v>1725</v>
      </c>
    </row>
    <row r="2034" ht="15.75" customHeight="1">
      <c r="A2034" s="83" t="s">
        <v>824</v>
      </c>
    </row>
    <row r="2035" ht="15.75" customHeight="1">
      <c r="A2035" s="83" t="s">
        <v>1726</v>
      </c>
    </row>
    <row r="2036" ht="15.75" customHeight="1">
      <c r="A2036" s="83" t="s">
        <v>1727</v>
      </c>
    </row>
    <row r="2037" ht="15.75" customHeight="1">
      <c r="A2037" s="83" t="s">
        <v>1728</v>
      </c>
    </row>
    <row r="2038" ht="15.75" customHeight="1">
      <c r="A2038" s="83" t="s">
        <v>1463</v>
      </c>
    </row>
    <row r="2039" ht="15.75" customHeight="1">
      <c r="A2039" s="83" t="s">
        <v>1464</v>
      </c>
    </row>
    <row r="2040" ht="15.75" customHeight="1">
      <c r="A2040" s="83" t="s">
        <v>662</v>
      </c>
    </row>
    <row r="2041" ht="15.75" customHeight="1"/>
    <row r="2042" ht="15.75" customHeight="1">
      <c r="A2042" s="83" t="s">
        <v>1729</v>
      </c>
    </row>
    <row r="2043" ht="15.75" customHeight="1">
      <c r="A2043" s="83" t="s">
        <v>1730</v>
      </c>
    </row>
    <row r="2044" ht="15.75" customHeight="1">
      <c r="A2044" s="83" t="s">
        <v>1731</v>
      </c>
    </row>
    <row r="2045" ht="15.75" customHeight="1">
      <c r="A2045" s="83" t="s">
        <v>1732</v>
      </c>
    </row>
    <row r="2046" ht="15.75" customHeight="1">
      <c r="A2046" s="83" t="s">
        <v>1733</v>
      </c>
    </row>
    <row r="2047" ht="15.75" customHeight="1">
      <c r="A2047" s="83" t="s">
        <v>1734</v>
      </c>
    </row>
    <row r="2048" ht="15.75" customHeight="1">
      <c r="A2048" s="83" t="s">
        <v>1735</v>
      </c>
    </row>
    <row r="2049" ht="15.75" customHeight="1">
      <c r="A2049" s="83" t="s">
        <v>1721</v>
      </c>
    </row>
    <row r="2050" ht="15.75" customHeight="1">
      <c r="A2050" s="83" t="s">
        <v>1722</v>
      </c>
    </row>
    <row r="2051" ht="15.75" customHeight="1">
      <c r="A2051" s="83" t="s">
        <v>1723</v>
      </c>
    </row>
    <row r="2052" ht="15.75" customHeight="1">
      <c r="A2052" s="83" t="s">
        <v>1724</v>
      </c>
    </row>
    <row r="2053" ht="15.75" customHeight="1">
      <c r="A2053" s="83" t="s">
        <v>223</v>
      </c>
    </row>
    <row r="2054" ht="15.75" customHeight="1">
      <c r="A2054" s="83" t="s">
        <v>223</v>
      </c>
    </row>
    <row r="2055" ht="15.75" customHeight="1">
      <c r="A2055" s="83" t="s">
        <v>223</v>
      </c>
    </row>
    <row r="2056" ht="15.75" customHeight="1">
      <c r="A2056" s="83" t="s">
        <v>223</v>
      </c>
    </row>
    <row r="2057" ht="15.75" customHeight="1"/>
    <row r="2058" ht="15.75" customHeight="1">
      <c r="A2058" s="83" t="s">
        <v>1736</v>
      </c>
    </row>
    <row r="2059" ht="15.75" customHeight="1">
      <c r="A2059" s="83" t="s">
        <v>1737</v>
      </c>
    </row>
    <row r="2060" ht="15.75" customHeight="1">
      <c r="A2060" s="83" t="s">
        <v>1738</v>
      </c>
    </row>
    <row r="2061" ht="15.75" customHeight="1"/>
    <row r="2062" ht="15.75" customHeight="1">
      <c r="A2062" s="83" t="s">
        <v>528</v>
      </c>
    </row>
    <row r="2063" ht="15.75" customHeight="1">
      <c r="A2063" s="83" t="s">
        <v>1739</v>
      </c>
    </row>
    <row r="2064" ht="15.75" customHeight="1">
      <c r="A2064" s="83" t="s">
        <v>550</v>
      </c>
    </row>
    <row r="2065" ht="15.75" customHeight="1">
      <c r="A2065" s="83" t="s">
        <v>223</v>
      </c>
    </row>
    <row r="2066" ht="15.75" customHeight="1">
      <c r="A2066" s="83" t="s">
        <v>223</v>
      </c>
    </row>
    <row r="2067" ht="15.75" customHeight="1"/>
    <row r="2068" ht="15.75" customHeight="1">
      <c r="A2068" s="83" t="s">
        <v>1786</v>
      </c>
    </row>
    <row r="2069" ht="15.75" customHeight="1">
      <c r="A2069" s="83" t="s">
        <v>1787</v>
      </c>
    </row>
    <row r="2070" ht="15.75" customHeight="1">
      <c r="A2070" s="83" t="s">
        <v>1788</v>
      </c>
    </row>
    <row r="2071" ht="15.75" customHeight="1">
      <c r="A2071" s="83" t="s">
        <v>479</v>
      </c>
    </row>
    <row r="2072" ht="15.75" customHeight="1">
      <c r="A2072" s="83" t="s">
        <v>1789</v>
      </c>
    </row>
    <row r="2073" ht="15.75" customHeight="1">
      <c r="A2073" s="83" t="s">
        <v>1790</v>
      </c>
    </row>
    <row r="2074" ht="15.75" customHeight="1">
      <c r="A2074" s="83" t="s">
        <v>1791</v>
      </c>
    </row>
    <row r="2075" ht="15.75" customHeight="1">
      <c r="A2075" s="83" t="s">
        <v>1792</v>
      </c>
    </row>
    <row r="2076" ht="15.75" customHeight="1">
      <c r="A2076" s="83" t="s">
        <v>220</v>
      </c>
    </row>
    <row r="2077" ht="15.75" customHeight="1">
      <c r="A2077" s="83" t="s">
        <v>1793</v>
      </c>
    </row>
    <row r="2078" ht="15.75" customHeight="1">
      <c r="A2078" s="83" t="s">
        <v>528</v>
      </c>
    </row>
    <row r="2079" ht="15.75" customHeight="1">
      <c r="A2079" s="83" t="s">
        <v>1794</v>
      </c>
    </row>
    <row r="2080" ht="15.75" customHeight="1">
      <c r="A2080" s="83" t="s">
        <v>223</v>
      </c>
    </row>
    <row r="2081" ht="15.75" customHeight="1">
      <c r="A2081" s="83" t="s">
        <v>223</v>
      </c>
    </row>
  </sheetData>
  <mergeCells count="2">
    <mergeCell ref="A1:F1"/>
    <mergeCell ref="A3:F3"/>
  </mergeCells>
  <printOptions/>
  <pageMargins bottom="1.0" footer="0.0" header="0.0" left="0.75" right="0.75" top="1.0"/>
  <pageSetup orientation="landscape"/>
  <drawing r:id="rId1"/>
</worksheet>
</file>